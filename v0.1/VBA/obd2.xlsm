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temp\projects\obd-ii\data\"/>
    </mc:Choice>
  </mc:AlternateContent>
  <bookViews>
    <workbookView xWindow="120" yWindow="60" windowWidth="12840" windowHeight="7140" tabRatio="733" activeTab="3"/>
  </bookViews>
  <sheets>
    <sheet name="PIPE2XL2" sheetId="7" r:id="rId1"/>
    <sheet name="PIPE2XL" sheetId="1" r:id="rId2"/>
    <sheet name="EEPROM2XL" sheetId="2" r:id="rId3"/>
    <sheet name="PING" sheetId="5" r:id="rId4"/>
  </sheets>
  <functionGroups builtInGroupCount="18"/>
  <calcPr calcId="171027"/>
</workbook>
</file>

<file path=xl/calcChain.xml><?xml version="1.0" encoding="utf-8"?>
<calcChain xmlns="http://schemas.openxmlformats.org/spreadsheetml/2006/main">
  <c r="G29" i="5" l="1"/>
  <c r="G27" i="5"/>
  <c r="G26" i="5"/>
  <c r="G25" i="5"/>
  <c r="G23" i="5"/>
  <c r="G22" i="5"/>
  <c r="F29" i="5"/>
  <c r="F27" i="5"/>
  <c r="F26" i="5"/>
  <c r="F25" i="5"/>
  <c r="F23" i="5"/>
  <c r="F22" i="5"/>
  <c r="D28" i="5"/>
  <c r="D26" i="5"/>
  <c r="C25" i="5"/>
  <c r="D24" i="5"/>
  <c r="D22" i="5"/>
  <c r="E29" i="5"/>
  <c r="B29" i="5"/>
  <c r="D29" i="5" s="1"/>
  <c r="E28" i="5"/>
  <c r="G28" i="5" s="1"/>
  <c r="E27" i="5"/>
  <c r="E26" i="5"/>
  <c r="E25" i="5"/>
  <c r="E24" i="5"/>
  <c r="G24" i="5" s="1"/>
  <c r="E23" i="5"/>
  <c r="E22" i="5"/>
  <c r="B28" i="5"/>
  <c r="C28" i="5" s="1"/>
  <c r="B27" i="5"/>
  <c r="D27" i="5" s="1"/>
  <c r="B26" i="5"/>
  <c r="C26" i="5" s="1"/>
  <c r="B25" i="5"/>
  <c r="D25" i="5" s="1"/>
  <c r="B24" i="5"/>
  <c r="C24" i="5" s="1"/>
  <c r="B23" i="5"/>
  <c r="D23" i="5" s="1"/>
  <c r="B22" i="5"/>
  <c r="C22" i="5" s="1"/>
  <c r="B21" i="5"/>
  <c r="B20" i="5"/>
  <c r="B19" i="5"/>
  <c r="B18" i="5"/>
  <c r="B1" i="5"/>
  <c r="C23" i="5" l="1"/>
  <c r="C27" i="5"/>
  <c r="C29" i="5"/>
  <c r="F24" i="5"/>
  <c r="F28" i="5"/>
  <c r="C140" i="2" l="1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E21" i="5"/>
  <c r="E20" i="5"/>
  <c r="G21" i="5" l="1"/>
  <c r="F21" i="5"/>
  <c r="D21" i="5"/>
  <c r="C21" i="5"/>
  <c r="G20" i="5"/>
  <c r="F20" i="5"/>
  <c r="D20" i="5"/>
  <c r="C20" i="5"/>
  <c r="E19" i="5"/>
  <c r="G19" i="5" s="1"/>
  <c r="D19" i="5"/>
  <c r="C19" i="5"/>
  <c r="E18" i="5"/>
  <c r="F18" i="5" s="1"/>
  <c r="D18" i="5"/>
  <c r="C18" i="5"/>
  <c r="E17" i="5"/>
  <c r="G17" i="5" s="1"/>
  <c r="D17" i="5"/>
  <c r="B17" i="5"/>
  <c r="C17" i="5" s="1"/>
  <c r="E16" i="5"/>
  <c r="F16" i="5" s="1"/>
  <c r="B16" i="5"/>
  <c r="D16" i="5" s="1"/>
  <c r="E15" i="5"/>
  <c r="G15" i="5" s="1"/>
  <c r="D15" i="5"/>
  <c r="C15" i="5"/>
  <c r="E14" i="5"/>
  <c r="G14" i="5" s="1"/>
  <c r="D14" i="5"/>
  <c r="C14" i="5"/>
  <c r="E13" i="5"/>
  <c r="G13" i="5" s="1"/>
  <c r="D13" i="5"/>
  <c r="C13" i="5"/>
  <c r="D30" i="5" l="1"/>
  <c r="F13" i="5"/>
  <c r="G16" i="5"/>
  <c r="G30" i="5" s="1"/>
  <c r="F19" i="5"/>
  <c r="G18" i="5"/>
  <c r="C30" i="5"/>
  <c r="F14" i="5"/>
  <c r="C16" i="5"/>
  <c r="F15" i="5"/>
  <c r="F17" i="5"/>
  <c r="C31" i="5" l="1"/>
  <c r="B30" i="5"/>
  <c r="B31" i="5" s="1"/>
  <c r="E30" i="5" l="1"/>
  <c r="E31" i="5" s="1"/>
  <c r="F30" i="5"/>
  <c r="F31" i="5" s="1"/>
</calcChain>
</file>

<file path=xl/sharedStrings.xml><?xml version="1.0" encoding="utf-8"?>
<sst xmlns="http://schemas.openxmlformats.org/spreadsheetml/2006/main" count="361" uniqueCount="46">
  <si>
    <t>serial status</t>
  </si>
  <si>
    <t>0 = ok, -1 = err, 5 = in use</t>
  </si>
  <si>
    <t>stop</t>
  </si>
  <si>
    <t>1 to stop</t>
  </si>
  <si>
    <t>Done</t>
  </si>
  <si>
    <t>#rows</t>
  </si>
  <si>
    <t>#cols</t>
  </si>
  <si>
    <t>&lt;--- DO NOT CHANGE</t>
  </si>
  <si>
    <t>Payload</t>
  </si>
  <si>
    <t>6A</t>
  </si>
  <si>
    <t>F1</t>
  </si>
  <si>
    <t>Output</t>
  </si>
  <si>
    <t>Serial Status</t>
  </si>
  <si>
    <t>input</t>
  </si>
  <si>
    <t>hex</t>
  </si>
  <si>
    <t>binary</t>
  </si>
  <si>
    <t>decimal</t>
  </si>
  <si>
    <t>byte</t>
  </si>
  <si>
    <t>sum</t>
  </si>
  <si>
    <t>checksum</t>
  </si>
  <si>
    <t>Time</t>
  </si>
  <si>
    <t>Value</t>
  </si>
  <si>
    <t>Location</t>
  </si>
  <si>
    <t>cost per gallon</t>
  </si>
  <si>
    <t>cal data</t>
  </si>
  <si>
    <t>vol. ratio car</t>
  </si>
  <si>
    <t>future</t>
  </si>
  <si>
    <t>last trip data</t>
  </si>
  <si>
    <t>car</t>
  </si>
  <si>
    <t>a-speed</t>
  </si>
  <si>
    <t>dist</t>
  </si>
  <si>
    <t>gal</t>
  </si>
  <si>
    <t>$</t>
  </si>
  <si>
    <t>a-MPG</t>
  </si>
  <si>
    <t>cum trip data</t>
  </si>
  <si>
    <t>van</t>
  </si>
  <si>
    <t>a-speed, MPG, dist history</t>
  </si>
  <si>
    <t>EEPROM marker</t>
  </si>
  <si>
    <t>Bytes</t>
  </si>
  <si>
    <t>End</t>
  </si>
  <si>
    <t>Parameter</t>
  </si>
  <si>
    <t>Type</t>
  </si>
  <si>
    <t>NULL</t>
  </si>
  <si>
    <t>Request</t>
  </si>
  <si>
    <t>&lt;--- green cells are inputs, no need to enter header or checksum --&gt;</t>
  </si>
  <si>
    <t># request bytes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</si>
</sst>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name val="Arial"/>
    </font>
    <font>
      <sz val="10"/>
      <name val="Arial"/>
      <family val="2"/>
    </font>
    <font>
      <sz val="10"/>
      <color theme="0" tint="-0.34998626667073579"/>
      <name val="Arial"/>
      <family val="2"/>
    </font>
    <font>
      <b/>
      <sz val="10"/>
      <name val="Arial"/>
      <family val="2"/>
    </font>
    <font>
      <b/>
      <sz val="10"/>
      <color theme="0" tint="-0.34998626667073579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0"/>
      <color rgb="FF00B050"/>
      <name val="Arial"/>
      <family val="2"/>
    </font>
    <font>
      <b/>
      <sz val="12"/>
      <name val="Arial"/>
      <family val="2"/>
    </font>
    <font>
      <sz val="10"/>
      <color theme="0" tint="-0.499984740745262"/>
      <name val="Arial"/>
      <family val="2"/>
    </font>
    <font>
      <sz val="8"/>
      <color theme="0" tint="-0.34998626667073579"/>
      <name val="Arial"/>
      <family val="2"/>
    </font>
    <font>
      <sz val="10"/>
      <color theme="0" tint="-0.249977111117893"/>
      <name val="Arial"/>
      <family val="2"/>
    </font>
    <font>
      <sz val="9"/>
      <color theme="0" tint="-0.24997711111789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  <xf numFmtId="0" fontId="1" fillId="0" borderId="0" xfId="0" applyFont="1"/>
    <xf numFmtId="0" fontId="1" fillId="0" borderId="0" xfId="1" applyFont="1"/>
    <xf numFmtId="0" fontId="1" fillId="0" borderId="0" xfId="1" quotePrefix="1"/>
    <xf numFmtId="0" fontId="1" fillId="0" borderId="0" xfId="1"/>
    <xf numFmtId="0" fontId="1" fillId="3" borderId="1" xfId="1" quotePrefix="1" applyFill="1" applyBorder="1" applyAlignment="1">
      <alignment horizontal="center"/>
    </xf>
    <xf numFmtId="0" fontId="1" fillId="3" borderId="1" xfId="1" quotePrefix="1" applyFont="1" applyFill="1" applyBorder="1" applyAlignment="1">
      <alignment horizontal="center"/>
    </xf>
    <xf numFmtId="0" fontId="1" fillId="3" borderId="1" xfId="1" applyFill="1" applyBorder="1" applyAlignment="1">
      <alignment horizontal="center"/>
    </xf>
    <xf numFmtId="0" fontId="1" fillId="3" borderId="1" xfId="1" applyFill="1" applyBorder="1"/>
    <xf numFmtId="0" fontId="1" fillId="0" borderId="0" xfId="1" applyAlignment="1">
      <alignment horizontal="center"/>
    </xf>
    <xf numFmtId="0" fontId="2" fillId="0" borderId="0" xfId="1" applyFont="1" applyAlignment="1">
      <alignment horizontal="center"/>
    </xf>
    <xf numFmtId="0" fontId="1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19" fontId="0" fillId="0" borderId="0" xfId="0" applyNumberFormat="1"/>
    <xf numFmtId="0" fontId="6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5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5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1" fillId="5" borderId="0" xfId="0" applyFont="1" applyFill="1" applyAlignment="1">
      <alignment horizontal="center"/>
    </xf>
    <xf numFmtId="0" fontId="1" fillId="4" borderId="1" xfId="1" applyFont="1" applyFill="1" applyBorder="1" applyAlignment="1">
      <alignment horizontal="center"/>
    </xf>
    <xf numFmtId="0" fontId="1" fillId="0" borderId="0" xfId="1" applyFont="1" applyAlignment="1">
      <alignment horizontal="right"/>
    </xf>
    <xf numFmtId="0" fontId="1" fillId="4" borderId="1" xfId="1" applyFill="1" applyBorder="1" applyAlignment="1">
      <alignment horizontal="center"/>
    </xf>
    <xf numFmtId="0" fontId="1" fillId="4" borderId="1" xfId="1" applyFill="1" applyBorder="1"/>
    <xf numFmtId="45" fontId="0" fillId="0" borderId="0" xfId="0" applyNumberFormat="1"/>
    <xf numFmtId="21" fontId="0" fillId="0" borderId="0" xfId="0" applyNumberFormat="1"/>
    <xf numFmtId="0" fontId="1" fillId="0" borderId="0" xfId="1" applyAlignment="1">
      <alignment horizontal="right"/>
    </xf>
    <xf numFmtId="0" fontId="3" fillId="0" borderId="0" xfId="1" applyFont="1" applyAlignment="1">
      <alignment horizontal="right"/>
    </xf>
    <xf numFmtId="0" fontId="8" fillId="0" borderId="0" xfId="1" applyFont="1" applyAlignment="1">
      <alignment horizontal="right"/>
    </xf>
    <xf numFmtId="0" fontId="1" fillId="6" borderId="1" xfId="1" quotePrefix="1" applyFill="1" applyBorder="1"/>
    <xf numFmtId="0" fontId="9" fillId="2" borderId="1" xfId="1" applyFont="1" applyFill="1" applyBorder="1" applyAlignment="1">
      <alignment horizontal="center"/>
    </xf>
    <xf numFmtId="0" fontId="9" fillId="2" borderId="1" xfId="1" quotePrefix="1" applyFont="1" applyFill="1" applyBorder="1" applyAlignment="1">
      <alignment horizontal="center"/>
    </xf>
    <xf numFmtId="0" fontId="10" fillId="0" borderId="0" xfId="1" applyFont="1"/>
    <xf numFmtId="0" fontId="0" fillId="0" borderId="0" xfId="0" applyAlignment="1">
      <alignment horizontal="left"/>
    </xf>
    <xf numFmtId="0" fontId="11" fillId="0" borderId="0" xfId="1" quotePrefix="1" applyFont="1" applyFill="1" applyAlignment="1">
      <alignment horizontal="left"/>
    </xf>
    <xf numFmtId="0" fontId="12" fillId="0" borderId="0" xfId="1" applyFont="1" applyAlignment="1">
      <alignment horizontal="right"/>
    </xf>
    <xf numFmtId="0" fontId="1" fillId="2" borderId="1" xfId="1" applyFont="1" applyFill="1" applyBorder="1" applyAlignment="1">
      <alignment horizontal="center"/>
    </xf>
    <xf numFmtId="0" fontId="1" fillId="4" borderId="1" xfId="1" applyFont="1" applyFill="1" applyBorder="1" applyAlignment="1">
      <alignment horizontal="center"/>
    </xf>
    <xf numFmtId="0" fontId="7" fillId="0" borderId="2" xfId="1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4917255505078"/>
          <c:y val="7.6632582898968599E-2"/>
          <c:w val="0.82842994535674042"/>
          <c:h val="0.784672729289120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PIPE2XL2!$A$14:$A$114</c:f>
              <c:numCache>
                <c:formatCode>h:mm:ss</c:formatCode>
                <c:ptCount val="101"/>
                <c:pt idx="0">
                  <c:v>0.91557870370370376</c:v>
                </c:pt>
                <c:pt idx="1">
                  <c:v>0.91559027777777768</c:v>
                </c:pt>
                <c:pt idx="2">
                  <c:v>0.91560185185185183</c:v>
                </c:pt>
                <c:pt idx="3">
                  <c:v>0.91561342592592598</c:v>
                </c:pt>
                <c:pt idx="4">
                  <c:v>0.91562500000000002</c:v>
                </c:pt>
                <c:pt idx="5">
                  <c:v>0.91562500000000002</c:v>
                </c:pt>
                <c:pt idx="6">
                  <c:v>0.91563657407407406</c:v>
                </c:pt>
                <c:pt idx="7">
                  <c:v>0.9156481481481481</c:v>
                </c:pt>
                <c:pt idx="8">
                  <c:v>0.91565972222222225</c:v>
                </c:pt>
                <c:pt idx="9">
                  <c:v>0.9156712962962964</c:v>
                </c:pt>
                <c:pt idx="10">
                  <c:v>0.9156712962962964</c:v>
                </c:pt>
                <c:pt idx="11">
                  <c:v>0.91568287037037033</c:v>
                </c:pt>
                <c:pt idx="12">
                  <c:v>0.91569444444444448</c:v>
                </c:pt>
                <c:pt idx="13">
                  <c:v>0.91570601851851852</c:v>
                </c:pt>
                <c:pt idx="14">
                  <c:v>0.91571759259259267</c:v>
                </c:pt>
                <c:pt idx="15">
                  <c:v>0.91571759259259267</c:v>
                </c:pt>
                <c:pt idx="16">
                  <c:v>0.91572916666666659</c:v>
                </c:pt>
                <c:pt idx="17">
                  <c:v>0.91574074074074074</c:v>
                </c:pt>
                <c:pt idx="18">
                  <c:v>0.91575231481481489</c:v>
                </c:pt>
                <c:pt idx="19">
                  <c:v>0.91576388888888882</c:v>
                </c:pt>
                <c:pt idx="20">
                  <c:v>0.91576388888888882</c:v>
                </c:pt>
                <c:pt idx="21">
                  <c:v>0.91577546296296297</c:v>
                </c:pt>
                <c:pt idx="22">
                  <c:v>0.91578703703703701</c:v>
                </c:pt>
                <c:pt idx="23">
                  <c:v>0.91579861111111116</c:v>
                </c:pt>
                <c:pt idx="24">
                  <c:v>0.91581018518518509</c:v>
                </c:pt>
                <c:pt idx="25">
                  <c:v>0.91581018518518509</c:v>
                </c:pt>
                <c:pt idx="26">
                  <c:v>0.91582175925925924</c:v>
                </c:pt>
                <c:pt idx="27">
                  <c:v>0.91583333333333339</c:v>
                </c:pt>
                <c:pt idx="28">
                  <c:v>0.91584490740740743</c:v>
                </c:pt>
                <c:pt idx="29">
                  <c:v>0.91585648148148147</c:v>
                </c:pt>
                <c:pt idx="30">
                  <c:v>0.91585648148148147</c:v>
                </c:pt>
                <c:pt idx="31">
                  <c:v>0.9158680555555555</c:v>
                </c:pt>
                <c:pt idx="32">
                  <c:v>0.91587962962962965</c:v>
                </c:pt>
                <c:pt idx="33">
                  <c:v>0.9158912037037038</c:v>
                </c:pt>
                <c:pt idx="34">
                  <c:v>0.91590277777777773</c:v>
                </c:pt>
                <c:pt idx="35">
                  <c:v>0.91590277777777773</c:v>
                </c:pt>
                <c:pt idx="36">
                  <c:v>0.91591435185185188</c:v>
                </c:pt>
                <c:pt idx="37">
                  <c:v>0.91592592592592592</c:v>
                </c:pt>
                <c:pt idx="38">
                  <c:v>0.91593750000000007</c:v>
                </c:pt>
                <c:pt idx="39">
                  <c:v>0.91593750000000007</c:v>
                </c:pt>
                <c:pt idx="40">
                  <c:v>0.915949074074074</c:v>
                </c:pt>
                <c:pt idx="41">
                  <c:v>0.91596064814814815</c:v>
                </c:pt>
                <c:pt idx="42">
                  <c:v>0.9159722222222223</c:v>
                </c:pt>
                <c:pt idx="43">
                  <c:v>0.91598379629629623</c:v>
                </c:pt>
                <c:pt idx="44">
                  <c:v>0.91598379629629623</c:v>
                </c:pt>
                <c:pt idx="45">
                  <c:v>0.91599537037037038</c:v>
                </c:pt>
                <c:pt idx="46">
                  <c:v>0.91600694444444442</c:v>
                </c:pt>
                <c:pt idx="47">
                  <c:v>0.91601851851851857</c:v>
                </c:pt>
                <c:pt idx="48">
                  <c:v>0.91603009259259249</c:v>
                </c:pt>
                <c:pt idx="49">
                  <c:v>0.91603009259259249</c:v>
                </c:pt>
                <c:pt idx="50">
                  <c:v>0.91604166666666664</c:v>
                </c:pt>
                <c:pt idx="51">
                  <c:v>0.91605324074074079</c:v>
                </c:pt>
                <c:pt idx="52">
                  <c:v>0.91606481481481483</c:v>
                </c:pt>
                <c:pt idx="53">
                  <c:v>0.91607638888888887</c:v>
                </c:pt>
                <c:pt idx="54">
                  <c:v>0.91607638888888887</c:v>
                </c:pt>
                <c:pt idx="55">
                  <c:v>0.91608796296296291</c:v>
                </c:pt>
                <c:pt idx="56">
                  <c:v>0.91609953703703706</c:v>
                </c:pt>
                <c:pt idx="57">
                  <c:v>0.91611111111111121</c:v>
                </c:pt>
                <c:pt idx="58">
                  <c:v>0.91612268518518514</c:v>
                </c:pt>
                <c:pt idx="59">
                  <c:v>0.91612268518518514</c:v>
                </c:pt>
                <c:pt idx="60">
                  <c:v>0.91613425925925929</c:v>
                </c:pt>
                <c:pt idx="61">
                  <c:v>0.91614583333333333</c:v>
                </c:pt>
                <c:pt idx="62">
                  <c:v>0.91615740740740748</c:v>
                </c:pt>
                <c:pt idx="63">
                  <c:v>0.9161689814814814</c:v>
                </c:pt>
                <c:pt idx="64">
                  <c:v>0.9161689814814814</c:v>
                </c:pt>
                <c:pt idx="65">
                  <c:v>0.91618055555555555</c:v>
                </c:pt>
                <c:pt idx="66">
                  <c:v>0.9161921296296297</c:v>
                </c:pt>
                <c:pt idx="67">
                  <c:v>0.91620370370370363</c:v>
                </c:pt>
                <c:pt idx="68">
                  <c:v>0.91621527777777778</c:v>
                </c:pt>
                <c:pt idx="69">
                  <c:v>0.91621527777777778</c:v>
                </c:pt>
                <c:pt idx="70">
                  <c:v>0.91622685185185182</c:v>
                </c:pt>
                <c:pt idx="71">
                  <c:v>0.91623842592592597</c:v>
                </c:pt>
                <c:pt idx="72">
                  <c:v>0.9162499999999999</c:v>
                </c:pt>
                <c:pt idx="73">
                  <c:v>0.91626157407407405</c:v>
                </c:pt>
                <c:pt idx="74">
                  <c:v>0.91626157407407405</c:v>
                </c:pt>
                <c:pt idx="75">
                  <c:v>0.9162731481481482</c:v>
                </c:pt>
                <c:pt idx="76">
                  <c:v>0.91628472222222224</c:v>
                </c:pt>
                <c:pt idx="77">
                  <c:v>0.91629629629629628</c:v>
                </c:pt>
                <c:pt idx="78">
                  <c:v>0.91630787037037031</c:v>
                </c:pt>
                <c:pt idx="79">
                  <c:v>0.91630787037037031</c:v>
                </c:pt>
                <c:pt idx="80">
                  <c:v>0.91631944444444446</c:v>
                </c:pt>
                <c:pt idx="81">
                  <c:v>0.91633101851851861</c:v>
                </c:pt>
                <c:pt idx="82">
                  <c:v>0.91634259259259254</c:v>
                </c:pt>
                <c:pt idx="83">
                  <c:v>0.91635416666666669</c:v>
                </c:pt>
                <c:pt idx="84">
                  <c:v>0.91635416666666669</c:v>
                </c:pt>
                <c:pt idx="85">
                  <c:v>0.91636574074074073</c:v>
                </c:pt>
                <c:pt idx="86">
                  <c:v>0.91637731481481488</c:v>
                </c:pt>
                <c:pt idx="87">
                  <c:v>0.91638888888888881</c:v>
                </c:pt>
                <c:pt idx="88">
                  <c:v>0.91638888888888881</c:v>
                </c:pt>
                <c:pt idx="89">
                  <c:v>0.91640046296296296</c:v>
                </c:pt>
                <c:pt idx="90">
                  <c:v>0.91641203703703711</c:v>
                </c:pt>
                <c:pt idx="91">
                  <c:v>0.91642361111111104</c:v>
                </c:pt>
                <c:pt idx="92">
                  <c:v>0.91643518518518519</c:v>
                </c:pt>
                <c:pt idx="93">
                  <c:v>0.91643518518518519</c:v>
                </c:pt>
                <c:pt idx="94">
                  <c:v>0.91644675925925922</c:v>
                </c:pt>
                <c:pt idx="95">
                  <c:v>0.91645833333333337</c:v>
                </c:pt>
                <c:pt idx="96">
                  <c:v>0.9164699074074073</c:v>
                </c:pt>
                <c:pt idx="97">
                  <c:v>0.91648148148148145</c:v>
                </c:pt>
                <c:pt idx="98">
                  <c:v>0.91648148148148145</c:v>
                </c:pt>
                <c:pt idx="99">
                  <c:v>0.9164930555555556</c:v>
                </c:pt>
              </c:numCache>
            </c:numRef>
          </c:xVal>
          <c:yVal>
            <c:numRef>
              <c:f>PIPE2XL2!$B$14:$B$114</c:f>
              <c:numCache>
                <c:formatCode>General</c:formatCode>
                <c:ptCount val="101"/>
                <c:pt idx="0">
                  <c:v>734.25</c:v>
                </c:pt>
                <c:pt idx="1">
                  <c:v>724</c:v>
                </c:pt>
                <c:pt idx="2">
                  <c:v>717.75</c:v>
                </c:pt>
                <c:pt idx="3">
                  <c:v>824</c:v>
                </c:pt>
                <c:pt idx="4">
                  <c:v>753</c:v>
                </c:pt>
                <c:pt idx="5">
                  <c:v>1085.75</c:v>
                </c:pt>
                <c:pt idx="6">
                  <c:v>893.75</c:v>
                </c:pt>
                <c:pt idx="7">
                  <c:v>705.25</c:v>
                </c:pt>
                <c:pt idx="8">
                  <c:v>704.5</c:v>
                </c:pt>
                <c:pt idx="9">
                  <c:v>1012.5</c:v>
                </c:pt>
                <c:pt idx="10">
                  <c:v>720.25</c:v>
                </c:pt>
                <c:pt idx="11">
                  <c:v>751.5</c:v>
                </c:pt>
                <c:pt idx="12">
                  <c:v>1350</c:v>
                </c:pt>
                <c:pt idx="13">
                  <c:v>842.75</c:v>
                </c:pt>
                <c:pt idx="14">
                  <c:v>703</c:v>
                </c:pt>
                <c:pt idx="15">
                  <c:v>714</c:v>
                </c:pt>
                <c:pt idx="16">
                  <c:v>715.5</c:v>
                </c:pt>
                <c:pt idx="17">
                  <c:v>700.75</c:v>
                </c:pt>
                <c:pt idx="18">
                  <c:v>690.5</c:v>
                </c:pt>
                <c:pt idx="19">
                  <c:v>678.75</c:v>
                </c:pt>
                <c:pt idx="20">
                  <c:v>687.5</c:v>
                </c:pt>
                <c:pt idx="21">
                  <c:v>687.5</c:v>
                </c:pt>
                <c:pt idx="22">
                  <c:v>694.5</c:v>
                </c:pt>
                <c:pt idx="23">
                  <c:v>673.25</c:v>
                </c:pt>
                <c:pt idx="24">
                  <c:v>753</c:v>
                </c:pt>
                <c:pt idx="25">
                  <c:v>755.25</c:v>
                </c:pt>
                <c:pt idx="26">
                  <c:v>1064</c:v>
                </c:pt>
                <c:pt idx="27">
                  <c:v>790.5</c:v>
                </c:pt>
                <c:pt idx="28">
                  <c:v>710.75</c:v>
                </c:pt>
                <c:pt idx="29">
                  <c:v>712.5</c:v>
                </c:pt>
                <c:pt idx="30">
                  <c:v>705.25</c:v>
                </c:pt>
                <c:pt idx="31">
                  <c:v>688.25</c:v>
                </c:pt>
                <c:pt idx="32">
                  <c:v>676.5</c:v>
                </c:pt>
                <c:pt idx="33">
                  <c:v>682</c:v>
                </c:pt>
                <c:pt idx="34">
                  <c:v>677.25</c:v>
                </c:pt>
                <c:pt idx="35">
                  <c:v>682.75</c:v>
                </c:pt>
                <c:pt idx="36">
                  <c:v>670.25</c:v>
                </c:pt>
                <c:pt idx="37">
                  <c:v>682</c:v>
                </c:pt>
                <c:pt idx="38">
                  <c:v>696</c:v>
                </c:pt>
                <c:pt idx="39">
                  <c:v>672.5</c:v>
                </c:pt>
                <c:pt idx="40">
                  <c:v>674</c:v>
                </c:pt>
                <c:pt idx="41">
                  <c:v>673.25</c:v>
                </c:pt>
                <c:pt idx="42">
                  <c:v>672.5</c:v>
                </c:pt>
                <c:pt idx="43">
                  <c:v>672.5</c:v>
                </c:pt>
                <c:pt idx="44">
                  <c:v>669.5</c:v>
                </c:pt>
                <c:pt idx="45">
                  <c:v>678</c:v>
                </c:pt>
                <c:pt idx="46">
                  <c:v>660.75</c:v>
                </c:pt>
                <c:pt idx="47">
                  <c:v>678.75</c:v>
                </c:pt>
                <c:pt idx="48">
                  <c:v>673.25</c:v>
                </c:pt>
                <c:pt idx="49">
                  <c:v>671.75</c:v>
                </c:pt>
                <c:pt idx="50">
                  <c:v>678</c:v>
                </c:pt>
                <c:pt idx="51">
                  <c:v>674</c:v>
                </c:pt>
                <c:pt idx="52">
                  <c:v>672.5</c:v>
                </c:pt>
                <c:pt idx="53">
                  <c:v>674</c:v>
                </c:pt>
                <c:pt idx="54">
                  <c:v>671</c:v>
                </c:pt>
                <c:pt idx="55">
                  <c:v>661.5</c:v>
                </c:pt>
                <c:pt idx="56">
                  <c:v>667</c:v>
                </c:pt>
                <c:pt idx="57">
                  <c:v>671</c:v>
                </c:pt>
                <c:pt idx="58">
                  <c:v>667</c:v>
                </c:pt>
                <c:pt idx="59">
                  <c:v>737.5</c:v>
                </c:pt>
                <c:pt idx="60">
                  <c:v>849</c:v>
                </c:pt>
                <c:pt idx="61">
                  <c:v>690.5</c:v>
                </c:pt>
                <c:pt idx="62">
                  <c:v>642.75</c:v>
                </c:pt>
                <c:pt idx="63">
                  <c:v>596.75</c:v>
                </c:pt>
                <c:pt idx="64">
                  <c:v>635</c:v>
                </c:pt>
                <c:pt idx="65">
                  <c:v>667.75</c:v>
                </c:pt>
                <c:pt idx="66">
                  <c:v>637.5</c:v>
                </c:pt>
                <c:pt idx="67">
                  <c:v>630.25</c:v>
                </c:pt>
                <c:pt idx="68">
                  <c:v>632.75</c:v>
                </c:pt>
                <c:pt idx="69">
                  <c:v>689.75</c:v>
                </c:pt>
                <c:pt idx="70">
                  <c:v>642</c:v>
                </c:pt>
                <c:pt idx="71">
                  <c:v>643.75</c:v>
                </c:pt>
                <c:pt idx="72">
                  <c:v>845.25</c:v>
                </c:pt>
                <c:pt idx="73">
                  <c:v>742</c:v>
                </c:pt>
                <c:pt idx="74">
                  <c:v>670.25</c:v>
                </c:pt>
                <c:pt idx="75">
                  <c:v>682.75</c:v>
                </c:pt>
                <c:pt idx="76">
                  <c:v>663.25</c:v>
                </c:pt>
                <c:pt idx="77">
                  <c:v>645.25</c:v>
                </c:pt>
                <c:pt idx="78">
                  <c:v>808.5</c:v>
                </c:pt>
                <c:pt idx="79">
                  <c:v>703.75</c:v>
                </c:pt>
                <c:pt idx="80">
                  <c:v>678</c:v>
                </c:pt>
                <c:pt idx="81">
                  <c:v>889.75</c:v>
                </c:pt>
                <c:pt idx="82">
                  <c:v>728</c:v>
                </c:pt>
                <c:pt idx="83">
                  <c:v>678</c:v>
                </c:pt>
                <c:pt idx="84">
                  <c:v>666.25</c:v>
                </c:pt>
                <c:pt idx="85">
                  <c:v>664</c:v>
                </c:pt>
                <c:pt idx="86">
                  <c:v>649</c:v>
                </c:pt>
                <c:pt idx="87">
                  <c:v>652.25</c:v>
                </c:pt>
                <c:pt idx="88">
                  <c:v>644.5</c:v>
                </c:pt>
                <c:pt idx="89">
                  <c:v>850.75</c:v>
                </c:pt>
                <c:pt idx="90">
                  <c:v>681.25</c:v>
                </c:pt>
                <c:pt idx="91">
                  <c:v>686.5</c:v>
                </c:pt>
                <c:pt idx="92">
                  <c:v>755.25</c:v>
                </c:pt>
                <c:pt idx="93">
                  <c:v>677.25</c:v>
                </c:pt>
                <c:pt idx="94">
                  <c:v>1103.75</c:v>
                </c:pt>
                <c:pt idx="95">
                  <c:v>1306.25</c:v>
                </c:pt>
                <c:pt idx="96">
                  <c:v>792.75</c:v>
                </c:pt>
                <c:pt idx="97">
                  <c:v>651.5</c:v>
                </c:pt>
                <c:pt idx="98">
                  <c:v>643.75</c:v>
                </c:pt>
                <c:pt idx="99">
                  <c:v>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2-4BB5-A8D0-A0EAC04E3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65120"/>
        <c:axId val="262966656"/>
      </c:scatterChart>
      <c:valAx>
        <c:axId val="262965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 b="1"/>
                </a:pPr>
                <a:r>
                  <a:rPr lang="en-US" sz="2000" b="1"/>
                  <a:t>Time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2966656"/>
        <c:crosses val="autoZero"/>
        <c:crossBetween val="midCat"/>
      </c:valAx>
      <c:valAx>
        <c:axId val="262966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2965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043009222681133"/>
          <c:y val="0.44949605798230841"/>
          <c:w val="0.12269947839241516"/>
          <c:h val="5.55556925596111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4917255505078"/>
          <c:y val="7.6632582898968599E-2"/>
          <c:w val="0.82842994535674042"/>
          <c:h val="0.784672729289120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PIPE2XL!$A$14:$A$1000</c:f>
              <c:numCache>
                <c:formatCode>mm:ss</c:formatCode>
                <c:ptCount val="987"/>
              </c:numCache>
            </c:numRef>
          </c:xVal>
          <c:yVal>
            <c:numRef>
              <c:f>PIPE2XL!$B$14:$B$1000</c:f>
              <c:numCache>
                <c:formatCode>General</c:formatCode>
                <c:ptCount val="98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5-4393-9F97-BD7691570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65120"/>
        <c:axId val="262966656"/>
      </c:scatterChart>
      <c:valAx>
        <c:axId val="262965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 b="1"/>
                </a:pPr>
                <a:r>
                  <a:rPr lang="en-US" sz="2000" b="1"/>
                  <a:t>Time</a:t>
                </a:r>
              </a:p>
            </c:rich>
          </c:tx>
          <c:overlay val="0"/>
        </c:title>
        <c:numFmt formatCode="mm:ss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2966656"/>
        <c:crosses val="autoZero"/>
        <c:crossBetween val="midCat"/>
      </c:valAx>
      <c:valAx>
        <c:axId val="262966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2965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043009222681133"/>
          <c:y val="0.44949605798230841"/>
          <c:w val="0.12269947839241516"/>
          <c:h val="5.55556925596111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4</xdr:row>
          <xdr:rowOff>123825</xdr:rowOff>
        </xdr:from>
        <xdr:to>
          <xdr:col>3</xdr:col>
          <xdr:colOff>628650</xdr:colOff>
          <xdr:row>7</xdr:row>
          <xdr:rowOff>104775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1254126</xdr:colOff>
      <xdr:row>5</xdr:row>
      <xdr:rowOff>57150</xdr:rowOff>
    </xdr:from>
    <xdr:to>
      <xdr:col>10</xdr:col>
      <xdr:colOff>568325</xdr:colOff>
      <xdr:row>29</xdr:row>
      <xdr:rowOff>79375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8</xdr:row>
          <xdr:rowOff>0</xdr:rowOff>
        </xdr:from>
        <xdr:to>
          <xdr:col>3</xdr:col>
          <xdr:colOff>657225</xdr:colOff>
          <xdr:row>11</xdr:row>
          <xdr:rowOff>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11</xdr:row>
          <xdr:rowOff>57150</xdr:rowOff>
        </xdr:from>
        <xdr:to>
          <xdr:col>3</xdr:col>
          <xdr:colOff>933450</xdr:colOff>
          <xdr:row>14</xdr:row>
          <xdr:rowOff>9525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85725</xdr:rowOff>
        </xdr:from>
        <xdr:to>
          <xdr:col>3</xdr:col>
          <xdr:colOff>1790700</xdr:colOff>
          <xdr:row>6</xdr:row>
          <xdr:rowOff>66675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120651</xdr:colOff>
      <xdr:row>0</xdr:row>
      <xdr:rowOff>47625</xdr:rowOff>
    </xdr:from>
    <xdr:to>
      <xdr:col>12</xdr:col>
      <xdr:colOff>520700</xdr:colOff>
      <xdr:row>24</xdr:row>
      <xdr:rowOff>69850</xdr:rowOff>
    </xdr:to>
    <xdr:graphicFrame macro="">
      <xdr:nvGraphicFramePr>
        <xdr:cNvPr id="1032" name="Chart 8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133350</xdr:rowOff>
        </xdr:from>
        <xdr:to>
          <xdr:col>3</xdr:col>
          <xdr:colOff>1809750</xdr:colOff>
          <xdr:row>9</xdr:row>
          <xdr:rowOff>133350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10</xdr:row>
          <xdr:rowOff>47625</xdr:rowOff>
        </xdr:from>
        <xdr:to>
          <xdr:col>3</xdr:col>
          <xdr:colOff>1752600</xdr:colOff>
          <xdr:row>12</xdr:row>
          <xdr:rowOff>123825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152400</xdr:rowOff>
        </xdr:from>
        <xdr:to>
          <xdr:col>2</xdr:col>
          <xdr:colOff>114300</xdr:colOff>
          <xdr:row>4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1333500</xdr:colOff>
          <xdr:row>6</xdr:row>
          <xdr:rowOff>57150</xdr:rowOff>
        </xdr:from>
        <xdr:to>
          <xdr:col>3</xdr:col>
          <xdr:colOff>571500</xdr:colOff>
          <xdr:row>9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113"/>
  <sheetViews>
    <sheetView showGridLines="0" topLeftCell="A6" zoomScaleNormal="100" workbookViewId="0">
      <selection activeCell="C19" sqref="C19"/>
    </sheetView>
  </sheetViews>
  <sheetFormatPr defaultRowHeight="12.75" x14ac:dyDescent="0.2"/>
  <cols>
    <col min="1" max="1" width="11.140625" customWidth="1"/>
    <col min="2" max="2" width="12.28515625" customWidth="1"/>
    <col min="3" max="3" width="23.5703125" customWidth="1"/>
    <col min="4" max="4" width="34.5703125" customWidth="1"/>
    <col min="10" max="10" width="18.85546875" customWidth="1"/>
  </cols>
  <sheetData>
    <row r="1" spans="1:14" x14ac:dyDescent="0.2">
      <c r="A1" t="s">
        <v>0</v>
      </c>
      <c r="B1">
        <v>0</v>
      </c>
      <c r="C1" s="1" t="s">
        <v>1</v>
      </c>
      <c r="G1" s="3"/>
      <c r="J1" s="16"/>
    </row>
    <row r="3" spans="1:14" x14ac:dyDescent="0.2">
      <c r="B3" t="s">
        <v>2</v>
      </c>
      <c r="C3">
        <v>1</v>
      </c>
      <c r="D3" s="1" t="s">
        <v>3</v>
      </c>
    </row>
    <row r="7" spans="1:14" x14ac:dyDescent="0.2">
      <c r="A7" t="s">
        <v>5</v>
      </c>
      <c r="B7">
        <v>100</v>
      </c>
    </row>
    <row r="8" spans="1:14" x14ac:dyDescent="0.2">
      <c r="A8" t="s">
        <v>6</v>
      </c>
      <c r="B8">
        <v>2</v>
      </c>
    </row>
    <row r="10" spans="1:14" x14ac:dyDescent="0.2">
      <c r="D10" t="s">
        <v>4</v>
      </c>
    </row>
    <row r="13" spans="1:14" ht="20.25" x14ac:dyDescent="0.3">
      <c r="A13" s="17" t="s">
        <v>20</v>
      </c>
      <c r="B13" s="17" t="s">
        <v>21</v>
      </c>
    </row>
    <row r="14" spans="1:14" x14ac:dyDescent="0.2">
      <c r="A14" s="32">
        <v>0.91557870370370376</v>
      </c>
      <c r="B14">
        <v>734.25</v>
      </c>
      <c r="J14" s="2"/>
      <c r="N14" s="1"/>
    </row>
    <row r="15" spans="1:14" x14ac:dyDescent="0.2">
      <c r="A15" s="32">
        <v>0.91559027777777768</v>
      </c>
      <c r="B15">
        <v>724</v>
      </c>
      <c r="C15" s="32"/>
      <c r="J15" s="2"/>
    </row>
    <row r="16" spans="1:14" x14ac:dyDescent="0.2">
      <c r="A16" s="32">
        <v>0.91560185185185183</v>
      </c>
      <c r="B16">
        <v>717.75</v>
      </c>
      <c r="C16" s="32"/>
      <c r="J16" s="2"/>
    </row>
    <row r="17" spans="1:10" x14ac:dyDescent="0.2">
      <c r="A17" s="32">
        <v>0.91561342592592598</v>
      </c>
      <c r="B17">
        <v>824</v>
      </c>
      <c r="C17" s="32"/>
      <c r="J17" s="2"/>
    </row>
    <row r="18" spans="1:10" x14ac:dyDescent="0.2">
      <c r="A18" s="32">
        <v>0.91562500000000002</v>
      </c>
      <c r="B18">
        <v>753</v>
      </c>
      <c r="C18" s="32"/>
      <c r="J18" s="2"/>
    </row>
    <row r="19" spans="1:10" x14ac:dyDescent="0.2">
      <c r="A19" s="32">
        <v>0.91562500000000002</v>
      </c>
      <c r="B19">
        <v>1085.75</v>
      </c>
      <c r="C19" s="32"/>
      <c r="J19" s="2"/>
    </row>
    <row r="20" spans="1:10" x14ac:dyDescent="0.2">
      <c r="A20" s="32">
        <v>0.91563657407407406</v>
      </c>
      <c r="B20">
        <v>893.75</v>
      </c>
      <c r="C20" s="32"/>
      <c r="J20" s="2"/>
    </row>
    <row r="21" spans="1:10" x14ac:dyDescent="0.2">
      <c r="A21" s="32">
        <v>0.9156481481481481</v>
      </c>
      <c r="B21">
        <v>705.25</v>
      </c>
      <c r="C21" s="32"/>
      <c r="J21" s="2"/>
    </row>
    <row r="22" spans="1:10" x14ac:dyDescent="0.2">
      <c r="A22" s="32">
        <v>0.91565972222222225</v>
      </c>
      <c r="B22">
        <v>704.5</v>
      </c>
      <c r="C22" s="32"/>
      <c r="J22" s="2"/>
    </row>
    <row r="23" spans="1:10" x14ac:dyDescent="0.2">
      <c r="A23" s="32">
        <v>0.9156712962962964</v>
      </c>
      <c r="B23">
        <v>1012.5</v>
      </c>
      <c r="C23" s="32"/>
      <c r="J23" s="2"/>
    </row>
    <row r="24" spans="1:10" x14ac:dyDescent="0.2">
      <c r="A24" s="32">
        <v>0.9156712962962964</v>
      </c>
      <c r="B24">
        <v>720.25</v>
      </c>
      <c r="C24" s="32"/>
      <c r="J24" s="2"/>
    </row>
    <row r="25" spans="1:10" x14ac:dyDescent="0.2">
      <c r="A25" s="32">
        <v>0.91568287037037033</v>
      </c>
      <c r="B25">
        <v>751.5</v>
      </c>
      <c r="C25" s="32"/>
      <c r="J25" s="2"/>
    </row>
    <row r="26" spans="1:10" x14ac:dyDescent="0.2">
      <c r="A26" s="32">
        <v>0.91569444444444448</v>
      </c>
      <c r="B26">
        <v>1350</v>
      </c>
      <c r="C26" s="32"/>
      <c r="J26" s="2"/>
    </row>
    <row r="27" spans="1:10" x14ac:dyDescent="0.2">
      <c r="A27" s="32">
        <v>0.91570601851851852</v>
      </c>
      <c r="B27">
        <v>842.75</v>
      </c>
      <c r="C27" s="32"/>
      <c r="J27" s="2"/>
    </row>
    <row r="28" spans="1:10" x14ac:dyDescent="0.2">
      <c r="A28" s="32">
        <v>0.91571759259259267</v>
      </c>
      <c r="B28">
        <v>703</v>
      </c>
      <c r="C28" s="32"/>
      <c r="J28" s="2"/>
    </row>
    <row r="29" spans="1:10" x14ac:dyDescent="0.2">
      <c r="A29" s="32">
        <v>0.91571759259259267</v>
      </c>
      <c r="B29">
        <v>714</v>
      </c>
      <c r="C29" s="32"/>
      <c r="J29" s="2"/>
    </row>
    <row r="30" spans="1:10" x14ac:dyDescent="0.2">
      <c r="A30" s="32">
        <v>0.91572916666666659</v>
      </c>
      <c r="B30">
        <v>715.5</v>
      </c>
      <c r="C30" s="32"/>
      <c r="J30" s="2"/>
    </row>
    <row r="31" spans="1:10" x14ac:dyDescent="0.2">
      <c r="A31" s="32">
        <v>0.91574074074074074</v>
      </c>
      <c r="B31">
        <v>700.75</v>
      </c>
      <c r="C31" s="32"/>
      <c r="J31" s="2"/>
    </row>
    <row r="32" spans="1:10" x14ac:dyDescent="0.2">
      <c r="A32" s="32">
        <v>0.91575231481481489</v>
      </c>
      <c r="B32">
        <v>690.5</v>
      </c>
      <c r="C32" s="32"/>
      <c r="J32" s="2"/>
    </row>
    <row r="33" spans="1:10" x14ac:dyDescent="0.2">
      <c r="A33" s="32">
        <v>0.91576388888888882</v>
      </c>
      <c r="B33">
        <v>678.75</v>
      </c>
      <c r="C33" s="32"/>
      <c r="J33" s="2"/>
    </row>
    <row r="34" spans="1:10" x14ac:dyDescent="0.2">
      <c r="A34" s="32">
        <v>0.91576388888888882</v>
      </c>
      <c r="B34">
        <v>687.5</v>
      </c>
      <c r="C34" s="32"/>
      <c r="J34" s="2"/>
    </row>
    <row r="35" spans="1:10" x14ac:dyDescent="0.2">
      <c r="A35" s="32">
        <v>0.91577546296296297</v>
      </c>
      <c r="B35">
        <v>687.5</v>
      </c>
      <c r="C35" s="32"/>
      <c r="J35" s="2"/>
    </row>
    <row r="36" spans="1:10" x14ac:dyDescent="0.2">
      <c r="A36" s="32">
        <v>0.91578703703703701</v>
      </c>
      <c r="B36">
        <v>694.5</v>
      </c>
      <c r="C36" s="32"/>
      <c r="J36" s="2"/>
    </row>
    <row r="37" spans="1:10" x14ac:dyDescent="0.2">
      <c r="A37" s="32">
        <v>0.91579861111111116</v>
      </c>
      <c r="B37">
        <v>673.25</v>
      </c>
      <c r="C37" s="32"/>
      <c r="J37" s="2"/>
    </row>
    <row r="38" spans="1:10" x14ac:dyDescent="0.2">
      <c r="A38" s="32">
        <v>0.91581018518518509</v>
      </c>
      <c r="B38">
        <v>753</v>
      </c>
      <c r="C38" s="32"/>
      <c r="J38" s="2"/>
    </row>
    <row r="39" spans="1:10" x14ac:dyDescent="0.2">
      <c r="A39" s="32">
        <v>0.91581018518518509</v>
      </c>
      <c r="B39">
        <v>755.25</v>
      </c>
      <c r="C39" s="32"/>
      <c r="J39" s="2"/>
    </row>
    <row r="40" spans="1:10" x14ac:dyDescent="0.2">
      <c r="A40" s="32">
        <v>0.91582175925925924</v>
      </c>
      <c r="B40">
        <v>1064</v>
      </c>
      <c r="C40" s="32"/>
      <c r="J40" s="2"/>
    </row>
    <row r="41" spans="1:10" x14ac:dyDescent="0.2">
      <c r="A41" s="32">
        <v>0.91583333333333339</v>
      </c>
      <c r="B41">
        <v>790.5</v>
      </c>
      <c r="C41" s="32"/>
      <c r="J41" s="2"/>
    </row>
    <row r="42" spans="1:10" x14ac:dyDescent="0.2">
      <c r="A42" s="32">
        <v>0.91584490740740743</v>
      </c>
      <c r="B42">
        <v>710.75</v>
      </c>
      <c r="C42" s="32"/>
      <c r="J42" s="2"/>
    </row>
    <row r="43" spans="1:10" x14ac:dyDescent="0.2">
      <c r="A43" s="32">
        <v>0.91585648148148147</v>
      </c>
      <c r="B43">
        <v>712.5</v>
      </c>
      <c r="C43" s="32"/>
      <c r="J43" s="2"/>
    </row>
    <row r="44" spans="1:10" x14ac:dyDescent="0.2">
      <c r="A44" s="32">
        <v>0.91585648148148147</v>
      </c>
      <c r="B44">
        <v>705.25</v>
      </c>
      <c r="C44" s="32"/>
      <c r="J44" s="2"/>
    </row>
    <row r="45" spans="1:10" x14ac:dyDescent="0.2">
      <c r="A45" s="32">
        <v>0.9158680555555555</v>
      </c>
      <c r="B45">
        <v>688.25</v>
      </c>
      <c r="C45" s="32"/>
      <c r="J45" s="2"/>
    </row>
    <row r="46" spans="1:10" x14ac:dyDescent="0.2">
      <c r="A46" s="32">
        <v>0.91587962962962965</v>
      </c>
      <c r="B46">
        <v>676.5</v>
      </c>
      <c r="C46" s="32"/>
      <c r="J46" s="2"/>
    </row>
    <row r="47" spans="1:10" x14ac:dyDescent="0.2">
      <c r="A47" s="32">
        <v>0.9158912037037038</v>
      </c>
      <c r="B47">
        <v>682</v>
      </c>
      <c r="C47" s="32"/>
      <c r="J47" s="2"/>
    </row>
    <row r="48" spans="1:10" x14ac:dyDescent="0.2">
      <c r="A48" s="32">
        <v>0.91590277777777773</v>
      </c>
      <c r="B48">
        <v>677.25</v>
      </c>
      <c r="C48" s="32"/>
      <c r="J48" s="2"/>
    </row>
    <row r="49" spans="1:10" x14ac:dyDescent="0.2">
      <c r="A49" s="32">
        <v>0.91590277777777773</v>
      </c>
      <c r="B49">
        <v>682.75</v>
      </c>
      <c r="C49" s="32"/>
      <c r="J49" s="2"/>
    </row>
    <row r="50" spans="1:10" x14ac:dyDescent="0.2">
      <c r="A50" s="32">
        <v>0.91591435185185188</v>
      </c>
      <c r="B50">
        <v>670.25</v>
      </c>
      <c r="C50" s="32"/>
      <c r="J50" s="2"/>
    </row>
    <row r="51" spans="1:10" x14ac:dyDescent="0.2">
      <c r="A51" s="32">
        <v>0.91592592592592592</v>
      </c>
      <c r="B51">
        <v>682</v>
      </c>
      <c r="C51" s="32"/>
      <c r="J51" s="2"/>
    </row>
    <row r="52" spans="1:10" x14ac:dyDescent="0.2">
      <c r="A52" s="32">
        <v>0.91593750000000007</v>
      </c>
      <c r="B52">
        <v>696</v>
      </c>
      <c r="C52" s="32"/>
      <c r="J52" s="2"/>
    </row>
    <row r="53" spans="1:10" x14ac:dyDescent="0.2">
      <c r="A53" s="32">
        <v>0.91593750000000007</v>
      </c>
      <c r="B53">
        <v>672.5</v>
      </c>
      <c r="C53" s="32"/>
      <c r="J53" s="2"/>
    </row>
    <row r="54" spans="1:10" x14ac:dyDescent="0.2">
      <c r="A54" s="32">
        <v>0.915949074074074</v>
      </c>
      <c r="B54">
        <v>674</v>
      </c>
      <c r="C54" s="32"/>
      <c r="J54" s="2"/>
    </row>
    <row r="55" spans="1:10" x14ac:dyDescent="0.2">
      <c r="A55" s="32">
        <v>0.91596064814814815</v>
      </c>
      <c r="B55">
        <v>673.25</v>
      </c>
      <c r="C55" s="32"/>
      <c r="J55" s="2"/>
    </row>
    <row r="56" spans="1:10" x14ac:dyDescent="0.2">
      <c r="A56" s="32">
        <v>0.9159722222222223</v>
      </c>
      <c r="B56">
        <v>672.5</v>
      </c>
      <c r="C56" s="32"/>
      <c r="J56" s="2"/>
    </row>
    <row r="57" spans="1:10" x14ac:dyDescent="0.2">
      <c r="A57" s="32">
        <v>0.91598379629629623</v>
      </c>
      <c r="B57">
        <v>672.5</v>
      </c>
      <c r="C57" s="32"/>
      <c r="J57" s="2"/>
    </row>
    <row r="58" spans="1:10" x14ac:dyDescent="0.2">
      <c r="A58" s="32">
        <v>0.91598379629629623</v>
      </c>
      <c r="B58">
        <v>669.5</v>
      </c>
      <c r="C58" s="32"/>
      <c r="J58" s="2"/>
    </row>
    <row r="59" spans="1:10" x14ac:dyDescent="0.2">
      <c r="A59" s="32">
        <v>0.91599537037037038</v>
      </c>
      <c r="B59">
        <v>678</v>
      </c>
      <c r="C59" s="32"/>
      <c r="J59" s="2"/>
    </row>
    <row r="60" spans="1:10" x14ac:dyDescent="0.2">
      <c r="A60" s="32">
        <v>0.91600694444444442</v>
      </c>
      <c r="B60">
        <v>660.75</v>
      </c>
      <c r="C60" s="32"/>
      <c r="J60" s="2"/>
    </row>
    <row r="61" spans="1:10" x14ac:dyDescent="0.2">
      <c r="A61" s="32">
        <v>0.91601851851851857</v>
      </c>
      <c r="B61">
        <v>678.75</v>
      </c>
      <c r="C61" s="32"/>
      <c r="J61" s="2"/>
    </row>
    <row r="62" spans="1:10" x14ac:dyDescent="0.2">
      <c r="A62" s="32">
        <v>0.91603009259259249</v>
      </c>
      <c r="B62">
        <v>673.25</v>
      </c>
      <c r="C62" s="32"/>
      <c r="J62" s="2"/>
    </row>
    <row r="63" spans="1:10" x14ac:dyDescent="0.2">
      <c r="A63" s="32">
        <v>0.91603009259259249</v>
      </c>
      <c r="B63">
        <v>671.75</v>
      </c>
      <c r="C63" s="32"/>
      <c r="J63" s="2"/>
    </row>
    <row r="64" spans="1:10" x14ac:dyDescent="0.2">
      <c r="A64" s="32">
        <v>0.91604166666666664</v>
      </c>
      <c r="B64">
        <v>678</v>
      </c>
      <c r="C64" s="32"/>
      <c r="J64" s="2"/>
    </row>
    <row r="65" spans="1:10" x14ac:dyDescent="0.2">
      <c r="A65" s="32">
        <v>0.91605324074074079</v>
      </c>
      <c r="B65">
        <v>674</v>
      </c>
      <c r="C65" s="32"/>
      <c r="J65" s="2"/>
    </row>
    <row r="66" spans="1:10" x14ac:dyDescent="0.2">
      <c r="A66" s="32">
        <v>0.91606481481481483</v>
      </c>
      <c r="B66">
        <v>672.5</v>
      </c>
      <c r="C66" s="32"/>
      <c r="J66" s="2"/>
    </row>
    <row r="67" spans="1:10" x14ac:dyDescent="0.2">
      <c r="A67" s="32">
        <v>0.91607638888888887</v>
      </c>
      <c r="B67">
        <v>674</v>
      </c>
      <c r="C67" s="32"/>
      <c r="J67" s="2"/>
    </row>
    <row r="68" spans="1:10" x14ac:dyDescent="0.2">
      <c r="A68" s="32">
        <v>0.91607638888888887</v>
      </c>
      <c r="B68">
        <v>671</v>
      </c>
      <c r="C68" s="32"/>
      <c r="J68" s="2"/>
    </row>
    <row r="69" spans="1:10" x14ac:dyDescent="0.2">
      <c r="A69" s="32">
        <v>0.91608796296296291</v>
      </c>
      <c r="B69">
        <v>661.5</v>
      </c>
      <c r="C69" s="32"/>
      <c r="J69" s="2"/>
    </row>
    <row r="70" spans="1:10" x14ac:dyDescent="0.2">
      <c r="A70" s="32">
        <v>0.91609953703703706</v>
      </c>
      <c r="B70">
        <v>667</v>
      </c>
      <c r="C70" s="32"/>
      <c r="J70" s="2"/>
    </row>
    <row r="71" spans="1:10" x14ac:dyDescent="0.2">
      <c r="A71" s="32">
        <v>0.91611111111111121</v>
      </c>
      <c r="B71">
        <v>671</v>
      </c>
      <c r="C71" s="32"/>
      <c r="J71" s="2"/>
    </row>
    <row r="72" spans="1:10" x14ac:dyDescent="0.2">
      <c r="A72" s="32">
        <v>0.91612268518518514</v>
      </c>
      <c r="B72">
        <v>667</v>
      </c>
      <c r="C72" s="32"/>
      <c r="J72" s="2"/>
    </row>
    <row r="73" spans="1:10" x14ac:dyDescent="0.2">
      <c r="A73" s="32">
        <v>0.91612268518518514</v>
      </c>
      <c r="B73">
        <v>737.5</v>
      </c>
      <c r="C73" s="32"/>
      <c r="J73" s="2"/>
    </row>
    <row r="74" spans="1:10" x14ac:dyDescent="0.2">
      <c r="A74" s="32">
        <v>0.91613425925925929</v>
      </c>
      <c r="B74">
        <v>849</v>
      </c>
      <c r="C74" s="32"/>
      <c r="J74" s="2"/>
    </row>
    <row r="75" spans="1:10" x14ac:dyDescent="0.2">
      <c r="A75" s="32">
        <v>0.91614583333333333</v>
      </c>
      <c r="B75">
        <v>690.5</v>
      </c>
      <c r="C75" s="32"/>
      <c r="J75" s="2"/>
    </row>
    <row r="76" spans="1:10" x14ac:dyDescent="0.2">
      <c r="A76" s="32">
        <v>0.91615740740740748</v>
      </c>
      <c r="B76">
        <v>642.75</v>
      </c>
      <c r="C76" s="32"/>
      <c r="J76" s="2"/>
    </row>
    <row r="77" spans="1:10" x14ac:dyDescent="0.2">
      <c r="A77" s="32">
        <v>0.9161689814814814</v>
      </c>
      <c r="B77">
        <v>596.75</v>
      </c>
      <c r="C77" s="32"/>
      <c r="J77" s="2"/>
    </row>
    <row r="78" spans="1:10" x14ac:dyDescent="0.2">
      <c r="A78" s="32">
        <v>0.9161689814814814</v>
      </c>
      <c r="B78">
        <v>635</v>
      </c>
      <c r="C78" s="32"/>
      <c r="J78" s="2"/>
    </row>
    <row r="79" spans="1:10" x14ac:dyDescent="0.2">
      <c r="A79" s="32">
        <v>0.91618055555555555</v>
      </c>
      <c r="B79">
        <v>667.75</v>
      </c>
      <c r="C79" s="32"/>
      <c r="J79" s="2"/>
    </row>
    <row r="80" spans="1:10" x14ac:dyDescent="0.2">
      <c r="A80" s="32">
        <v>0.9161921296296297</v>
      </c>
      <c r="B80">
        <v>637.5</v>
      </c>
      <c r="C80" s="32"/>
      <c r="J80" s="2"/>
    </row>
    <row r="81" spans="1:10" x14ac:dyDescent="0.2">
      <c r="A81" s="32">
        <v>0.91620370370370363</v>
      </c>
      <c r="B81">
        <v>630.25</v>
      </c>
      <c r="C81" s="32"/>
      <c r="J81" s="2"/>
    </row>
    <row r="82" spans="1:10" x14ac:dyDescent="0.2">
      <c r="A82" s="32">
        <v>0.91621527777777778</v>
      </c>
      <c r="B82">
        <v>632.75</v>
      </c>
      <c r="C82" s="32"/>
      <c r="J82" s="2"/>
    </row>
    <row r="83" spans="1:10" x14ac:dyDescent="0.2">
      <c r="A83" s="32">
        <v>0.91621527777777778</v>
      </c>
      <c r="B83">
        <v>689.75</v>
      </c>
      <c r="C83" s="32"/>
      <c r="J83" s="2"/>
    </row>
    <row r="84" spans="1:10" x14ac:dyDescent="0.2">
      <c r="A84" s="32">
        <v>0.91622685185185182</v>
      </c>
      <c r="B84">
        <v>642</v>
      </c>
      <c r="C84" s="32"/>
      <c r="J84" s="2"/>
    </row>
    <row r="85" spans="1:10" x14ac:dyDescent="0.2">
      <c r="A85" s="32">
        <v>0.91623842592592597</v>
      </c>
      <c r="B85">
        <v>643.75</v>
      </c>
      <c r="C85" s="32"/>
      <c r="J85" s="2"/>
    </row>
    <row r="86" spans="1:10" x14ac:dyDescent="0.2">
      <c r="A86" s="32">
        <v>0.9162499999999999</v>
      </c>
      <c r="B86">
        <v>845.25</v>
      </c>
      <c r="C86" s="32"/>
      <c r="J86" s="2"/>
    </row>
    <row r="87" spans="1:10" x14ac:dyDescent="0.2">
      <c r="A87" s="32">
        <v>0.91626157407407405</v>
      </c>
      <c r="B87">
        <v>742</v>
      </c>
      <c r="C87" s="32"/>
      <c r="J87" s="2"/>
    </row>
    <row r="88" spans="1:10" x14ac:dyDescent="0.2">
      <c r="A88" s="32">
        <v>0.91626157407407405</v>
      </c>
      <c r="B88">
        <v>670.25</v>
      </c>
      <c r="C88" s="32"/>
      <c r="J88" s="2"/>
    </row>
    <row r="89" spans="1:10" x14ac:dyDescent="0.2">
      <c r="A89" s="32">
        <v>0.9162731481481482</v>
      </c>
      <c r="B89">
        <v>682.75</v>
      </c>
      <c r="C89" s="32"/>
      <c r="J89" s="2"/>
    </row>
    <row r="90" spans="1:10" x14ac:dyDescent="0.2">
      <c r="A90" s="32">
        <v>0.91628472222222224</v>
      </c>
      <c r="B90">
        <v>663.25</v>
      </c>
      <c r="C90" s="32"/>
      <c r="J90" s="2"/>
    </row>
    <row r="91" spans="1:10" x14ac:dyDescent="0.2">
      <c r="A91" s="32">
        <v>0.91629629629629628</v>
      </c>
      <c r="B91">
        <v>645.25</v>
      </c>
      <c r="C91" s="32"/>
      <c r="J91" s="2"/>
    </row>
    <row r="92" spans="1:10" x14ac:dyDescent="0.2">
      <c r="A92" s="32">
        <v>0.91630787037037031</v>
      </c>
      <c r="B92">
        <v>808.5</v>
      </c>
      <c r="C92" s="32"/>
      <c r="J92" s="2"/>
    </row>
    <row r="93" spans="1:10" x14ac:dyDescent="0.2">
      <c r="A93" s="32">
        <v>0.91630787037037031</v>
      </c>
      <c r="B93">
        <v>703.75</v>
      </c>
      <c r="C93" s="32"/>
      <c r="J93" s="2"/>
    </row>
    <row r="94" spans="1:10" x14ac:dyDescent="0.2">
      <c r="A94" s="32">
        <v>0.91631944444444446</v>
      </c>
      <c r="B94">
        <v>678</v>
      </c>
      <c r="C94" s="32"/>
      <c r="J94" s="2"/>
    </row>
    <row r="95" spans="1:10" x14ac:dyDescent="0.2">
      <c r="A95" s="32">
        <v>0.91633101851851861</v>
      </c>
      <c r="B95">
        <v>889.75</v>
      </c>
      <c r="C95" s="32"/>
      <c r="J95" s="2"/>
    </row>
    <row r="96" spans="1:10" x14ac:dyDescent="0.2">
      <c r="A96" s="32">
        <v>0.91634259259259254</v>
      </c>
      <c r="B96">
        <v>728</v>
      </c>
      <c r="C96" s="32"/>
      <c r="J96" s="2"/>
    </row>
    <row r="97" spans="1:10" x14ac:dyDescent="0.2">
      <c r="A97" s="32">
        <v>0.91635416666666669</v>
      </c>
      <c r="B97">
        <v>678</v>
      </c>
      <c r="C97" s="32"/>
      <c r="J97" s="2"/>
    </row>
    <row r="98" spans="1:10" x14ac:dyDescent="0.2">
      <c r="A98" s="32">
        <v>0.91635416666666669</v>
      </c>
      <c r="B98">
        <v>666.25</v>
      </c>
      <c r="C98" s="32"/>
      <c r="J98" s="2"/>
    </row>
    <row r="99" spans="1:10" x14ac:dyDescent="0.2">
      <c r="A99" s="32">
        <v>0.91636574074074073</v>
      </c>
      <c r="B99">
        <v>664</v>
      </c>
      <c r="C99" s="32"/>
      <c r="J99" s="2"/>
    </row>
    <row r="100" spans="1:10" x14ac:dyDescent="0.2">
      <c r="A100" s="32">
        <v>0.91637731481481488</v>
      </c>
      <c r="B100">
        <v>649</v>
      </c>
      <c r="C100" s="32"/>
      <c r="J100" s="2"/>
    </row>
    <row r="101" spans="1:10" x14ac:dyDescent="0.2">
      <c r="A101" s="32">
        <v>0.91638888888888881</v>
      </c>
      <c r="B101">
        <v>652.25</v>
      </c>
      <c r="C101" s="32"/>
      <c r="J101" s="2"/>
    </row>
    <row r="102" spans="1:10" x14ac:dyDescent="0.2">
      <c r="A102" s="32">
        <v>0.91638888888888881</v>
      </c>
      <c r="B102">
        <v>644.5</v>
      </c>
      <c r="C102" s="32"/>
      <c r="J102" s="2"/>
    </row>
    <row r="103" spans="1:10" x14ac:dyDescent="0.2">
      <c r="A103" s="32">
        <v>0.91640046296296296</v>
      </c>
      <c r="B103">
        <v>850.75</v>
      </c>
      <c r="C103" s="32"/>
      <c r="J103" s="2"/>
    </row>
    <row r="104" spans="1:10" x14ac:dyDescent="0.2">
      <c r="A104" s="32">
        <v>0.91641203703703711</v>
      </c>
      <c r="B104">
        <v>681.25</v>
      </c>
      <c r="C104" s="32"/>
      <c r="J104" s="2"/>
    </row>
    <row r="105" spans="1:10" x14ac:dyDescent="0.2">
      <c r="A105" s="32">
        <v>0.91642361111111104</v>
      </c>
      <c r="B105">
        <v>686.5</v>
      </c>
      <c r="C105" s="32"/>
      <c r="J105" s="2"/>
    </row>
    <row r="106" spans="1:10" x14ac:dyDescent="0.2">
      <c r="A106" s="32">
        <v>0.91643518518518519</v>
      </c>
      <c r="B106">
        <v>755.25</v>
      </c>
      <c r="C106" s="32"/>
      <c r="J106" s="2"/>
    </row>
    <row r="107" spans="1:10" x14ac:dyDescent="0.2">
      <c r="A107" s="32">
        <v>0.91643518518518519</v>
      </c>
      <c r="B107">
        <v>677.25</v>
      </c>
      <c r="C107" s="32"/>
      <c r="J107" s="2"/>
    </row>
    <row r="108" spans="1:10" x14ac:dyDescent="0.2">
      <c r="A108" s="32">
        <v>0.91644675925925922</v>
      </c>
      <c r="B108">
        <v>1103.75</v>
      </c>
      <c r="C108" s="32"/>
      <c r="J108" s="2"/>
    </row>
    <row r="109" spans="1:10" x14ac:dyDescent="0.2">
      <c r="A109" s="32">
        <v>0.91645833333333337</v>
      </c>
      <c r="B109">
        <v>1306.25</v>
      </c>
      <c r="C109" s="32"/>
      <c r="J109" s="2"/>
    </row>
    <row r="110" spans="1:10" x14ac:dyDescent="0.2">
      <c r="A110" s="32">
        <v>0.9164699074074073</v>
      </c>
      <c r="B110">
        <v>792.75</v>
      </c>
      <c r="C110" s="32"/>
      <c r="J110" s="2"/>
    </row>
    <row r="111" spans="1:10" x14ac:dyDescent="0.2">
      <c r="A111" s="32">
        <v>0.91648148148148145</v>
      </c>
      <c r="B111">
        <v>651.5</v>
      </c>
      <c r="C111" s="32"/>
      <c r="J111" s="2"/>
    </row>
    <row r="112" spans="1:10" x14ac:dyDescent="0.2">
      <c r="A112" s="32">
        <v>0.91648148148148145</v>
      </c>
      <c r="B112">
        <v>643.75</v>
      </c>
      <c r="C112" s="32"/>
      <c r="J112" s="2"/>
    </row>
    <row r="113" spans="1:10" x14ac:dyDescent="0.2">
      <c r="A113" s="32">
        <v>0.9164930555555556</v>
      </c>
      <c r="B113">
        <v>667</v>
      </c>
      <c r="C113" s="32"/>
      <c r="J113" s="2"/>
    </row>
  </sheetData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ommandButton2">
          <controlPr defaultSize="0" autoLine="0" r:id="rId5">
            <anchor moveWithCells="1">
              <from>
                <xdr:col>2</xdr:col>
                <xdr:colOff>409575</xdr:colOff>
                <xdr:row>4</xdr:row>
                <xdr:rowOff>123825</xdr:rowOff>
              </from>
              <to>
                <xdr:col>3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7169" r:id="rId4" name="CommandButton2"/>
      </mc:Fallback>
    </mc:AlternateContent>
    <mc:AlternateContent xmlns:mc="http://schemas.openxmlformats.org/markup-compatibility/2006">
      <mc:Choice Requires="x14">
        <control shapeId="7170" r:id="rId6" name="CommandButton1">
          <controlPr defaultSize="0" autoLine="0" r:id="rId7">
            <anchor moveWithCells="1">
              <from>
                <xdr:col>2</xdr:col>
                <xdr:colOff>419100</xdr:colOff>
                <xdr:row>8</xdr:row>
                <xdr:rowOff>0</xdr:rowOff>
              </from>
              <to>
                <xdr:col>3</xdr:col>
                <xdr:colOff>657225</xdr:colOff>
                <xdr:row>11</xdr:row>
                <xdr:rowOff>0</xdr:rowOff>
              </to>
            </anchor>
          </controlPr>
        </control>
      </mc:Choice>
      <mc:Fallback>
        <control shapeId="7170" r:id="rId6" name="CommandButton1"/>
      </mc:Fallback>
    </mc:AlternateContent>
    <mc:AlternateContent xmlns:mc="http://schemas.openxmlformats.org/markup-compatibility/2006">
      <mc:Choice Requires="x14">
        <control shapeId="7171" r:id="rId8" name="CommandButton3">
          <controlPr defaultSize="0" autoLine="0" r:id="rId9">
            <anchor moveWithCells="1">
              <from>
                <xdr:col>2</xdr:col>
                <xdr:colOff>266700</xdr:colOff>
                <xdr:row>11</xdr:row>
                <xdr:rowOff>57150</xdr:rowOff>
              </from>
              <to>
                <xdr:col>3</xdr:col>
                <xdr:colOff>933450</xdr:colOff>
                <xdr:row>14</xdr:row>
                <xdr:rowOff>9525</xdr:rowOff>
              </to>
            </anchor>
          </controlPr>
        </control>
      </mc:Choice>
      <mc:Fallback>
        <control shapeId="717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13"/>
  <sheetViews>
    <sheetView showGridLines="0" zoomScaleNormal="100" workbookViewId="0">
      <selection activeCell="D19" sqref="D19"/>
    </sheetView>
  </sheetViews>
  <sheetFormatPr defaultRowHeight="12.75" x14ac:dyDescent="0.2"/>
  <cols>
    <col min="1" max="1" width="11.140625" bestFit="1" customWidth="1"/>
    <col min="2" max="2" width="12.28515625" customWidth="1"/>
    <col min="3" max="3" width="6.42578125" customWidth="1"/>
    <col min="4" max="4" width="34.5703125" bestFit="1" customWidth="1"/>
    <col min="10" max="10" width="18.85546875" customWidth="1"/>
  </cols>
  <sheetData>
    <row r="1" spans="1:14" x14ac:dyDescent="0.2">
      <c r="A1" t="s">
        <v>0</v>
      </c>
      <c r="B1">
        <v>2</v>
      </c>
      <c r="C1" s="1" t="s">
        <v>1</v>
      </c>
      <c r="G1" s="3"/>
      <c r="J1" s="16"/>
    </row>
    <row r="3" spans="1:14" x14ac:dyDescent="0.2">
      <c r="B3" s="23" t="s">
        <v>2</v>
      </c>
      <c r="C3" s="40">
        <v>0</v>
      </c>
      <c r="D3" s="1" t="s">
        <v>3</v>
      </c>
    </row>
    <row r="10" spans="1:14" x14ac:dyDescent="0.2">
      <c r="D10" t="s">
        <v>4</v>
      </c>
    </row>
    <row r="13" spans="1:14" ht="20.25" x14ac:dyDescent="0.3">
      <c r="A13" s="17" t="s">
        <v>20</v>
      </c>
      <c r="B13" s="17" t="s">
        <v>21</v>
      </c>
    </row>
    <row r="14" spans="1:14" x14ac:dyDescent="0.2">
      <c r="A14" s="31"/>
      <c r="J14" s="2"/>
      <c r="N14" s="1"/>
    </row>
    <row r="15" spans="1:14" x14ac:dyDescent="0.2">
      <c r="A15" s="31"/>
      <c r="J15" s="2"/>
    </row>
    <row r="16" spans="1:14" x14ac:dyDescent="0.2">
      <c r="A16" s="31"/>
      <c r="J16" s="2"/>
    </row>
    <row r="17" spans="1:10" x14ac:dyDescent="0.2">
      <c r="A17" s="31"/>
      <c r="J17" s="2"/>
    </row>
    <row r="18" spans="1:10" x14ac:dyDescent="0.2">
      <c r="A18" s="31"/>
      <c r="J18" s="2"/>
    </row>
    <row r="19" spans="1:10" x14ac:dyDescent="0.2">
      <c r="A19" s="31"/>
      <c r="J19" s="2"/>
    </row>
    <row r="20" spans="1:10" x14ac:dyDescent="0.2">
      <c r="A20" s="31"/>
      <c r="J20" s="2"/>
    </row>
    <row r="21" spans="1:10" x14ac:dyDescent="0.2">
      <c r="A21" s="31"/>
      <c r="J21" s="2"/>
    </row>
    <row r="22" spans="1:10" x14ac:dyDescent="0.2">
      <c r="A22" s="31"/>
      <c r="J22" s="2"/>
    </row>
    <row r="23" spans="1:10" x14ac:dyDescent="0.2">
      <c r="A23" s="31"/>
      <c r="J23" s="2"/>
    </row>
    <row r="24" spans="1:10" x14ac:dyDescent="0.2">
      <c r="A24" s="31"/>
      <c r="J24" s="2"/>
    </row>
    <row r="25" spans="1:10" x14ac:dyDescent="0.2">
      <c r="A25" s="31"/>
      <c r="J25" s="2"/>
    </row>
    <row r="26" spans="1:10" x14ac:dyDescent="0.2">
      <c r="A26" s="31"/>
      <c r="J26" s="2"/>
    </row>
    <row r="27" spans="1:10" x14ac:dyDescent="0.2">
      <c r="A27" s="31"/>
      <c r="J27" s="2"/>
    </row>
    <row r="28" spans="1:10" x14ac:dyDescent="0.2">
      <c r="A28" s="31"/>
      <c r="J28" s="2"/>
    </row>
    <row r="29" spans="1:10" x14ac:dyDescent="0.2">
      <c r="A29" s="31"/>
      <c r="J29" s="2"/>
    </row>
    <row r="30" spans="1:10" x14ac:dyDescent="0.2">
      <c r="A30" s="31"/>
      <c r="J30" s="2"/>
    </row>
    <row r="31" spans="1:10" x14ac:dyDescent="0.2">
      <c r="A31" s="31"/>
      <c r="J31" s="2"/>
    </row>
    <row r="32" spans="1:10" x14ac:dyDescent="0.2">
      <c r="A32" s="31"/>
      <c r="J32" s="2"/>
    </row>
    <row r="33" spans="1:10" x14ac:dyDescent="0.2">
      <c r="A33" s="31"/>
      <c r="J33" s="2"/>
    </row>
    <row r="34" spans="1:10" x14ac:dyDescent="0.2">
      <c r="A34" s="31"/>
      <c r="J34" s="2"/>
    </row>
    <row r="35" spans="1:10" x14ac:dyDescent="0.2">
      <c r="A35" s="31"/>
      <c r="J35" s="2"/>
    </row>
    <row r="36" spans="1:10" x14ac:dyDescent="0.2">
      <c r="A36" s="31"/>
      <c r="J36" s="2"/>
    </row>
    <row r="37" spans="1:10" x14ac:dyDescent="0.2">
      <c r="A37" s="31"/>
      <c r="J37" s="2"/>
    </row>
    <row r="38" spans="1:10" x14ac:dyDescent="0.2">
      <c r="A38" s="31"/>
      <c r="J38" s="2"/>
    </row>
    <row r="39" spans="1:10" x14ac:dyDescent="0.2">
      <c r="A39" s="31"/>
      <c r="J39" s="2"/>
    </row>
    <row r="40" spans="1:10" x14ac:dyDescent="0.2">
      <c r="A40" s="31"/>
      <c r="J40" s="2"/>
    </row>
    <row r="41" spans="1:10" x14ac:dyDescent="0.2">
      <c r="A41" s="31"/>
      <c r="J41" s="2"/>
    </row>
    <row r="42" spans="1:10" x14ac:dyDescent="0.2">
      <c r="A42" s="31"/>
      <c r="J42" s="2"/>
    </row>
    <row r="43" spans="1:10" x14ac:dyDescent="0.2">
      <c r="A43" s="31"/>
      <c r="J43" s="2"/>
    </row>
    <row r="44" spans="1:10" x14ac:dyDescent="0.2">
      <c r="A44" s="31"/>
      <c r="J44" s="2"/>
    </row>
    <row r="45" spans="1:10" x14ac:dyDescent="0.2">
      <c r="A45" s="31"/>
      <c r="J45" s="2"/>
    </row>
    <row r="46" spans="1:10" x14ac:dyDescent="0.2">
      <c r="A46" s="31"/>
      <c r="J46" s="2"/>
    </row>
    <row r="47" spans="1:10" x14ac:dyDescent="0.2">
      <c r="A47" s="31"/>
      <c r="J47" s="2"/>
    </row>
    <row r="48" spans="1:10" x14ac:dyDescent="0.2">
      <c r="A48" s="31"/>
      <c r="J48" s="2"/>
    </row>
    <row r="49" spans="1:10" x14ac:dyDescent="0.2">
      <c r="A49" s="31"/>
      <c r="J49" s="2"/>
    </row>
    <row r="50" spans="1:10" x14ac:dyDescent="0.2">
      <c r="A50" s="31"/>
      <c r="J50" s="2"/>
    </row>
    <row r="51" spans="1:10" x14ac:dyDescent="0.2">
      <c r="A51" s="31"/>
      <c r="J51" s="2"/>
    </row>
    <row r="52" spans="1:10" x14ac:dyDescent="0.2">
      <c r="A52" s="31"/>
      <c r="J52" s="2"/>
    </row>
    <row r="53" spans="1:10" x14ac:dyDescent="0.2">
      <c r="A53" s="31"/>
      <c r="J53" s="2"/>
    </row>
    <row r="54" spans="1:10" x14ac:dyDescent="0.2">
      <c r="A54" s="31"/>
      <c r="J54" s="2"/>
    </row>
    <row r="55" spans="1:10" x14ac:dyDescent="0.2">
      <c r="A55" s="31"/>
      <c r="J55" s="2"/>
    </row>
    <row r="56" spans="1:10" x14ac:dyDescent="0.2">
      <c r="A56" s="31"/>
      <c r="J56" s="2"/>
    </row>
    <row r="57" spans="1:10" x14ac:dyDescent="0.2">
      <c r="A57" s="31"/>
      <c r="J57" s="2"/>
    </row>
    <row r="58" spans="1:10" x14ac:dyDescent="0.2">
      <c r="A58" s="31"/>
      <c r="J58" s="2"/>
    </row>
    <row r="59" spans="1:10" x14ac:dyDescent="0.2">
      <c r="A59" s="31"/>
      <c r="J59" s="2"/>
    </row>
    <row r="60" spans="1:10" x14ac:dyDescent="0.2">
      <c r="A60" s="31"/>
      <c r="J60" s="2"/>
    </row>
    <row r="61" spans="1:10" x14ac:dyDescent="0.2">
      <c r="A61" s="31"/>
      <c r="J61" s="2"/>
    </row>
    <row r="62" spans="1:10" x14ac:dyDescent="0.2">
      <c r="A62" s="31"/>
      <c r="J62" s="2"/>
    </row>
    <row r="63" spans="1:10" x14ac:dyDescent="0.2">
      <c r="A63" s="31"/>
      <c r="J63" s="2"/>
    </row>
    <row r="64" spans="1:10" x14ac:dyDescent="0.2">
      <c r="A64" s="31"/>
      <c r="J64" s="2"/>
    </row>
    <row r="65" spans="1:10" x14ac:dyDescent="0.2">
      <c r="A65" s="31"/>
      <c r="J65" s="2"/>
    </row>
    <row r="66" spans="1:10" x14ac:dyDescent="0.2">
      <c r="A66" s="31"/>
      <c r="C66" s="31"/>
      <c r="J66" s="2"/>
    </row>
    <row r="67" spans="1:10" x14ac:dyDescent="0.2">
      <c r="J67" s="2"/>
    </row>
    <row r="68" spans="1:10" x14ac:dyDescent="0.2">
      <c r="J68" s="2"/>
    </row>
    <row r="69" spans="1:10" x14ac:dyDescent="0.2">
      <c r="J69" s="2"/>
    </row>
    <row r="70" spans="1:10" x14ac:dyDescent="0.2">
      <c r="J70" s="2"/>
    </row>
    <row r="71" spans="1:10" x14ac:dyDescent="0.2">
      <c r="J71" s="2"/>
    </row>
    <row r="72" spans="1:10" x14ac:dyDescent="0.2">
      <c r="J72" s="2"/>
    </row>
    <row r="73" spans="1:10" x14ac:dyDescent="0.2">
      <c r="J73" s="2"/>
    </row>
    <row r="74" spans="1:10" x14ac:dyDescent="0.2">
      <c r="J74" s="2"/>
    </row>
    <row r="75" spans="1:10" x14ac:dyDescent="0.2">
      <c r="J75" s="2"/>
    </row>
    <row r="76" spans="1:10" x14ac:dyDescent="0.2">
      <c r="J76" s="2"/>
    </row>
    <row r="77" spans="1:10" x14ac:dyDescent="0.2">
      <c r="J77" s="2"/>
    </row>
    <row r="78" spans="1:10" x14ac:dyDescent="0.2">
      <c r="J78" s="2"/>
    </row>
    <row r="79" spans="1:10" x14ac:dyDescent="0.2">
      <c r="J79" s="2"/>
    </row>
    <row r="80" spans="1:10" x14ac:dyDescent="0.2">
      <c r="J80" s="2"/>
    </row>
    <row r="81" spans="10:10" x14ac:dyDescent="0.2">
      <c r="J81" s="2"/>
    </row>
    <row r="82" spans="10:10" x14ac:dyDescent="0.2">
      <c r="J82" s="2"/>
    </row>
    <row r="83" spans="10:10" x14ac:dyDescent="0.2">
      <c r="J83" s="2"/>
    </row>
    <row r="84" spans="10:10" x14ac:dyDescent="0.2">
      <c r="J84" s="2"/>
    </row>
    <row r="85" spans="10:10" x14ac:dyDescent="0.2">
      <c r="J85" s="2"/>
    </row>
    <row r="86" spans="10:10" x14ac:dyDescent="0.2">
      <c r="J86" s="2"/>
    </row>
    <row r="87" spans="10:10" x14ac:dyDescent="0.2">
      <c r="J87" s="2"/>
    </row>
    <row r="88" spans="10:10" x14ac:dyDescent="0.2">
      <c r="J88" s="2"/>
    </row>
    <row r="89" spans="10:10" x14ac:dyDescent="0.2">
      <c r="J89" s="2"/>
    </row>
    <row r="90" spans="10:10" x14ac:dyDescent="0.2">
      <c r="J90" s="2"/>
    </row>
    <row r="91" spans="10:10" x14ac:dyDescent="0.2">
      <c r="J91" s="2"/>
    </row>
    <row r="92" spans="10:10" x14ac:dyDescent="0.2">
      <c r="J92" s="2"/>
    </row>
    <row r="93" spans="10:10" x14ac:dyDescent="0.2">
      <c r="J93" s="2"/>
    </row>
    <row r="94" spans="10:10" x14ac:dyDescent="0.2">
      <c r="J94" s="2"/>
    </row>
    <row r="95" spans="10:10" x14ac:dyDescent="0.2">
      <c r="J95" s="2"/>
    </row>
    <row r="96" spans="10:10" x14ac:dyDescent="0.2">
      <c r="J96" s="2"/>
    </row>
    <row r="97" spans="10:10" x14ac:dyDescent="0.2">
      <c r="J97" s="2"/>
    </row>
    <row r="98" spans="10:10" x14ac:dyDescent="0.2">
      <c r="J98" s="2"/>
    </row>
    <row r="99" spans="10:10" x14ac:dyDescent="0.2">
      <c r="J99" s="2"/>
    </row>
    <row r="100" spans="10:10" x14ac:dyDescent="0.2">
      <c r="J100" s="2"/>
    </row>
    <row r="101" spans="10:10" x14ac:dyDescent="0.2">
      <c r="J101" s="2"/>
    </row>
    <row r="102" spans="10:10" x14ac:dyDescent="0.2">
      <c r="J102" s="2"/>
    </row>
    <row r="103" spans="10:10" x14ac:dyDescent="0.2">
      <c r="J103" s="2"/>
    </row>
    <row r="104" spans="10:10" x14ac:dyDescent="0.2">
      <c r="J104" s="2"/>
    </row>
    <row r="105" spans="10:10" x14ac:dyDescent="0.2">
      <c r="J105" s="2"/>
    </row>
    <row r="106" spans="10:10" x14ac:dyDescent="0.2">
      <c r="J106" s="2"/>
    </row>
    <row r="107" spans="10:10" x14ac:dyDescent="0.2">
      <c r="J107" s="2"/>
    </row>
    <row r="108" spans="10:10" x14ac:dyDescent="0.2">
      <c r="J108" s="2"/>
    </row>
    <row r="109" spans="10:10" x14ac:dyDescent="0.2">
      <c r="J109" s="2"/>
    </row>
    <row r="110" spans="10:10" x14ac:dyDescent="0.2">
      <c r="J110" s="2"/>
    </row>
    <row r="111" spans="10:10" x14ac:dyDescent="0.2">
      <c r="J111" s="2"/>
    </row>
    <row r="112" spans="10:10" x14ac:dyDescent="0.2">
      <c r="J112" s="2"/>
    </row>
    <row r="113" spans="10:10" x14ac:dyDescent="0.2">
      <c r="J113" s="2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3</xdr:col>
                <xdr:colOff>76200</xdr:colOff>
                <xdr:row>10</xdr:row>
                <xdr:rowOff>47625</xdr:rowOff>
              </from>
              <to>
                <xdr:col>3</xdr:col>
                <xdr:colOff>1752600</xdr:colOff>
                <xdr:row>12</xdr:row>
                <xdr:rowOff>123825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1">
          <controlPr defaultSize="0" autoLine="0" r:id="rId7">
            <anchor moveWithCells="1">
              <from>
                <xdr:col>3</xdr:col>
                <xdr:colOff>0</xdr:colOff>
                <xdr:row>6</xdr:row>
                <xdr:rowOff>133350</xdr:rowOff>
              </from>
              <to>
                <xdr:col>3</xdr:col>
                <xdr:colOff>1809750</xdr:colOff>
                <xdr:row>9</xdr:row>
                <xdr:rowOff>133350</xdr:rowOff>
              </to>
            </anchor>
          </controlPr>
        </control>
      </mc:Choice>
      <mc:Fallback>
        <control shapeId="1033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3</xdr:col>
                <xdr:colOff>0</xdr:colOff>
                <xdr:row>3</xdr:row>
                <xdr:rowOff>85725</xdr:rowOff>
              </from>
              <to>
                <xdr:col>3</xdr:col>
                <xdr:colOff>1790700</xdr:colOff>
                <xdr:row>6</xdr:row>
                <xdr:rowOff>66675</xdr:rowOff>
              </to>
            </anchor>
          </controlPr>
        </control>
      </mc:Choice>
      <mc:Fallback>
        <control shapeId="1027" r:id="rId8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59"/>
  <sheetViews>
    <sheetView showGridLines="0" zoomScaleNormal="100" workbookViewId="0">
      <pane ySplit="7" topLeftCell="A8" activePane="bottomLeft" state="frozen"/>
      <selection pane="bottomLeft" activeCell="I33" sqref="I33"/>
    </sheetView>
  </sheetViews>
  <sheetFormatPr defaultRowHeight="12.75" x14ac:dyDescent="0.2"/>
  <cols>
    <col min="1" max="1" width="11.7109375" bestFit="1" customWidth="1"/>
    <col min="4" max="4" width="13.85546875" bestFit="1" customWidth="1"/>
    <col min="5" max="5" width="9.140625" style="18"/>
    <col min="6" max="6" width="24.42578125" bestFit="1" customWidth="1"/>
  </cols>
  <sheetData>
    <row r="1" spans="1:10" x14ac:dyDescent="0.2">
      <c r="A1" s="4" t="s">
        <v>12</v>
      </c>
      <c r="B1" s="6">
        <v>0</v>
      </c>
      <c r="C1" s="5" t="s">
        <v>1</v>
      </c>
    </row>
    <row r="3" spans="1:10" x14ac:dyDescent="0.2">
      <c r="E3" s="19"/>
      <c r="G3" s="1"/>
      <c r="H3" s="1"/>
      <c r="I3" s="1"/>
      <c r="J3" s="1"/>
    </row>
    <row r="7" spans="1:10" ht="18" x14ac:dyDescent="0.25">
      <c r="A7" s="20" t="s">
        <v>22</v>
      </c>
      <c r="B7" s="20" t="s">
        <v>38</v>
      </c>
      <c r="C7" s="20" t="s">
        <v>39</v>
      </c>
      <c r="D7" s="20" t="s">
        <v>40</v>
      </c>
      <c r="E7" s="20" t="s">
        <v>21</v>
      </c>
      <c r="F7" s="20" t="s">
        <v>41</v>
      </c>
    </row>
    <row r="8" spans="1:10" x14ac:dyDescent="0.2">
      <c r="A8" s="18">
        <v>460</v>
      </c>
      <c r="B8" s="18">
        <v>4</v>
      </c>
      <c r="C8" s="18">
        <f>A8+B8</f>
        <v>464</v>
      </c>
      <c r="D8" s="23" t="s">
        <v>23</v>
      </c>
      <c r="E8" s="18">
        <v>2.5</v>
      </c>
      <c r="F8" s="18" t="s">
        <v>24</v>
      </c>
    </row>
    <row r="9" spans="1:10" x14ac:dyDescent="0.2">
      <c r="A9" s="18">
        <v>464</v>
      </c>
      <c r="B9" s="18">
        <v>4</v>
      </c>
      <c r="C9" s="18">
        <f t="shared" ref="C9:C72" si="0">A9+B9</f>
        <v>468</v>
      </c>
      <c r="D9" s="23" t="s">
        <v>25</v>
      </c>
      <c r="E9" s="18">
        <v>80</v>
      </c>
      <c r="F9" s="18" t="s">
        <v>24</v>
      </c>
    </row>
    <row r="10" spans="1:10" x14ac:dyDescent="0.2">
      <c r="A10" s="18">
        <v>468</v>
      </c>
      <c r="B10" s="18">
        <v>4</v>
      </c>
      <c r="C10" s="18">
        <f t="shared" si="0"/>
        <v>472</v>
      </c>
      <c r="D10" s="23" t="s">
        <v>26</v>
      </c>
      <c r="E10" s="18">
        <v>0</v>
      </c>
      <c r="F10" s="18" t="s">
        <v>24</v>
      </c>
    </row>
    <row r="11" spans="1:10" x14ac:dyDescent="0.2">
      <c r="A11" s="18">
        <v>472</v>
      </c>
      <c r="B11" s="18">
        <v>4</v>
      </c>
      <c r="C11" s="18">
        <f t="shared" si="0"/>
        <v>476</v>
      </c>
      <c r="D11" s="23" t="s">
        <v>26</v>
      </c>
      <c r="E11" s="18">
        <v>0</v>
      </c>
      <c r="F11" s="18" t="s">
        <v>24</v>
      </c>
    </row>
    <row r="12" spans="1:10" x14ac:dyDescent="0.2">
      <c r="A12" s="18">
        <v>476</v>
      </c>
      <c r="B12" s="18">
        <v>4</v>
      </c>
      <c r="C12" s="18">
        <f t="shared" si="0"/>
        <v>480</v>
      </c>
      <c r="D12" s="23" t="s">
        <v>26</v>
      </c>
      <c r="E12" s="18">
        <v>0</v>
      </c>
      <c r="F12" s="18" t="s">
        <v>24</v>
      </c>
    </row>
    <row r="13" spans="1:10" x14ac:dyDescent="0.2">
      <c r="A13" s="18">
        <v>480</v>
      </c>
      <c r="B13" s="18">
        <v>4</v>
      </c>
      <c r="C13" s="18">
        <f t="shared" si="0"/>
        <v>484</v>
      </c>
      <c r="D13" s="23" t="s">
        <v>26</v>
      </c>
      <c r="E13" s="18">
        <v>0</v>
      </c>
      <c r="F13" s="18" t="s">
        <v>24</v>
      </c>
    </row>
    <row r="14" spans="1:10" x14ac:dyDescent="0.2">
      <c r="A14" s="18">
        <v>484</v>
      </c>
      <c r="B14" s="18">
        <v>4</v>
      </c>
      <c r="C14" s="18">
        <f t="shared" si="0"/>
        <v>488</v>
      </c>
      <c r="D14" s="24" t="s">
        <v>20</v>
      </c>
      <c r="E14" s="18">
        <v>16.309999999999999</v>
      </c>
      <c r="F14" s="21" t="s">
        <v>27</v>
      </c>
      <c r="G14" s="3" t="s">
        <v>28</v>
      </c>
    </row>
    <row r="15" spans="1:10" x14ac:dyDescent="0.2">
      <c r="A15" s="18">
        <v>488</v>
      </c>
      <c r="B15" s="18">
        <v>4</v>
      </c>
      <c r="C15" s="18">
        <f t="shared" si="0"/>
        <v>492</v>
      </c>
      <c r="D15" s="24" t="s">
        <v>29</v>
      </c>
      <c r="E15" s="18">
        <v>34.86</v>
      </c>
      <c r="F15" s="21" t="s">
        <v>27</v>
      </c>
      <c r="G15" s="3" t="s">
        <v>28</v>
      </c>
    </row>
    <row r="16" spans="1:10" x14ac:dyDescent="0.2">
      <c r="A16" s="18">
        <v>492</v>
      </c>
      <c r="B16" s="18">
        <v>4</v>
      </c>
      <c r="C16" s="18">
        <f t="shared" si="0"/>
        <v>496</v>
      </c>
      <c r="D16" s="24" t="s">
        <v>30</v>
      </c>
      <c r="E16" s="18">
        <v>9.48</v>
      </c>
      <c r="F16" s="21" t="s">
        <v>27</v>
      </c>
      <c r="G16" s="3" t="s">
        <v>28</v>
      </c>
    </row>
    <row r="17" spans="1:7" x14ac:dyDescent="0.2">
      <c r="A17" s="18">
        <v>496</v>
      </c>
      <c r="B17" s="18">
        <v>4</v>
      </c>
      <c r="C17" s="18">
        <f t="shared" si="0"/>
        <v>500</v>
      </c>
      <c r="D17" s="24" t="s">
        <v>31</v>
      </c>
      <c r="E17" s="18">
        <v>0.34</v>
      </c>
      <c r="F17" s="21" t="s">
        <v>27</v>
      </c>
      <c r="G17" s="3" t="s">
        <v>28</v>
      </c>
    </row>
    <row r="18" spans="1:7" x14ac:dyDescent="0.2">
      <c r="A18" s="18">
        <v>500</v>
      </c>
      <c r="B18" s="18">
        <v>4</v>
      </c>
      <c r="C18" s="18">
        <f t="shared" si="0"/>
        <v>504</v>
      </c>
      <c r="D18" s="24" t="s">
        <v>32</v>
      </c>
      <c r="E18" s="18">
        <v>1.28</v>
      </c>
      <c r="F18" s="21" t="s">
        <v>27</v>
      </c>
      <c r="G18" s="3" t="s">
        <v>28</v>
      </c>
    </row>
    <row r="19" spans="1:7" x14ac:dyDescent="0.2">
      <c r="A19" s="18">
        <v>504</v>
      </c>
      <c r="B19" s="18">
        <v>4</v>
      </c>
      <c r="C19" s="18">
        <f t="shared" si="0"/>
        <v>508</v>
      </c>
      <c r="D19" s="24" t="s">
        <v>33</v>
      </c>
      <c r="E19" s="18">
        <v>27.79</v>
      </c>
      <c r="F19" s="21" t="s">
        <v>27</v>
      </c>
      <c r="G19" s="3" t="s">
        <v>28</v>
      </c>
    </row>
    <row r="20" spans="1:7" x14ac:dyDescent="0.2">
      <c r="A20" s="18">
        <v>508</v>
      </c>
      <c r="B20" s="18">
        <v>4</v>
      </c>
      <c r="C20" s="18">
        <f t="shared" si="0"/>
        <v>512</v>
      </c>
      <c r="D20" s="23" t="s">
        <v>20</v>
      </c>
      <c r="E20" s="18">
        <v>502.52</v>
      </c>
      <c r="F20" s="18" t="s">
        <v>34</v>
      </c>
      <c r="G20" s="3" t="s">
        <v>28</v>
      </c>
    </row>
    <row r="21" spans="1:7" x14ac:dyDescent="0.2">
      <c r="A21" s="18">
        <v>512</v>
      </c>
      <c r="B21" s="18">
        <v>4</v>
      </c>
      <c r="C21" s="18">
        <f t="shared" si="0"/>
        <v>516</v>
      </c>
      <c r="D21" s="23" t="s">
        <v>29</v>
      </c>
      <c r="E21" s="18">
        <v>42.12</v>
      </c>
      <c r="F21" s="18" t="s">
        <v>34</v>
      </c>
      <c r="G21" s="3" t="s">
        <v>28</v>
      </c>
    </row>
    <row r="22" spans="1:7" x14ac:dyDescent="0.2">
      <c r="A22" s="18">
        <v>516</v>
      </c>
      <c r="B22" s="18">
        <v>4</v>
      </c>
      <c r="C22" s="18">
        <f t="shared" si="0"/>
        <v>520</v>
      </c>
      <c r="D22" s="23" t="s">
        <v>30</v>
      </c>
      <c r="E22" s="18">
        <v>352.76</v>
      </c>
      <c r="F22" s="18" t="s">
        <v>34</v>
      </c>
      <c r="G22" s="3" t="s">
        <v>28</v>
      </c>
    </row>
    <row r="23" spans="1:7" x14ac:dyDescent="0.2">
      <c r="A23" s="18">
        <v>520</v>
      </c>
      <c r="B23" s="18">
        <v>4</v>
      </c>
      <c r="C23" s="18">
        <f t="shared" si="0"/>
        <v>524</v>
      </c>
      <c r="D23" s="23" t="s">
        <v>31</v>
      </c>
      <c r="E23" s="18">
        <v>11.28</v>
      </c>
      <c r="F23" s="18" t="s">
        <v>34</v>
      </c>
      <c r="G23" s="3" t="s">
        <v>28</v>
      </c>
    </row>
    <row r="24" spans="1:7" x14ac:dyDescent="0.2">
      <c r="A24" s="18">
        <v>524</v>
      </c>
      <c r="B24" s="18">
        <v>4</v>
      </c>
      <c r="C24" s="18">
        <f t="shared" si="0"/>
        <v>528</v>
      </c>
      <c r="D24" s="23" t="s">
        <v>32</v>
      </c>
      <c r="E24" s="18">
        <v>41.91</v>
      </c>
      <c r="F24" s="18" t="s">
        <v>34</v>
      </c>
      <c r="G24" s="3" t="s">
        <v>28</v>
      </c>
    </row>
    <row r="25" spans="1:7" x14ac:dyDescent="0.2">
      <c r="A25" s="18">
        <v>528</v>
      </c>
      <c r="B25" s="18">
        <v>4</v>
      </c>
      <c r="C25" s="18">
        <f t="shared" si="0"/>
        <v>532</v>
      </c>
      <c r="D25" s="23" t="s">
        <v>33</v>
      </c>
      <c r="E25" s="18">
        <v>31.28</v>
      </c>
      <c r="F25" s="18" t="s">
        <v>34</v>
      </c>
      <c r="G25" s="3" t="s">
        <v>28</v>
      </c>
    </row>
    <row r="26" spans="1:7" x14ac:dyDescent="0.2">
      <c r="A26" s="18">
        <v>532</v>
      </c>
      <c r="B26" s="18">
        <v>4</v>
      </c>
      <c r="C26" s="18">
        <f t="shared" si="0"/>
        <v>536</v>
      </c>
      <c r="D26" s="24" t="s">
        <v>20</v>
      </c>
      <c r="E26" s="18">
        <v>5.08</v>
      </c>
      <c r="F26" s="21" t="s">
        <v>27</v>
      </c>
      <c r="G26" s="3" t="s">
        <v>35</v>
      </c>
    </row>
    <row r="27" spans="1:7" x14ac:dyDescent="0.2">
      <c r="A27" s="18">
        <v>536</v>
      </c>
      <c r="B27" s="18">
        <v>4</v>
      </c>
      <c r="C27" s="18">
        <f t="shared" si="0"/>
        <v>540</v>
      </c>
      <c r="D27" s="24" t="s">
        <v>29</v>
      </c>
      <c r="E27" s="18">
        <v>9.39</v>
      </c>
      <c r="F27" s="21" t="s">
        <v>27</v>
      </c>
      <c r="G27" s="3" t="s">
        <v>35</v>
      </c>
    </row>
    <row r="28" spans="1:7" x14ac:dyDescent="0.2">
      <c r="A28" s="18">
        <v>540</v>
      </c>
      <c r="B28" s="18">
        <v>4</v>
      </c>
      <c r="C28" s="18">
        <f t="shared" si="0"/>
        <v>544</v>
      </c>
      <c r="D28" s="24" t="s">
        <v>30</v>
      </c>
      <c r="E28" s="18">
        <v>0.79</v>
      </c>
      <c r="F28" s="21" t="s">
        <v>27</v>
      </c>
      <c r="G28" s="3" t="s">
        <v>35</v>
      </c>
    </row>
    <row r="29" spans="1:7" x14ac:dyDescent="0.2">
      <c r="A29" s="18">
        <v>544</v>
      </c>
      <c r="B29" s="18">
        <v>4</v>
      </c>
      <c r="C29" s="18">
        <f t="shared" si="0"/>
        <v>548</v>
      </c>
      <c r="D29" s="24" t="s">
        <v>31</v>
      </c>
      <c r="E29" s="18">
        <v>0.06</v>
      </c>
      <c r="F29" s="21" t="s">
        <v>27</v>
      </c>
      <c r="G29" s="3" t="s">
        <v>35</v>
      </c>
    </row>
    <row r="30" spans="1:7" x14ac:dyDescent="0.2">
      <c r="A30" s="18">
        <v>548</v>
      </c>
      <c r="B30" s="18">
        <v>4</v>
      </c>
      <c r="C30" s="18">
        <f t="shared" si="0"/>
        <v>552</v>
      </c>
      <c r="D30" s="24" t="s">
        <v>32</v>
      </c>
      <c r="E30" s="18">
        <v>0.24</v>
      </c>
      <c r="F30" s="21" t="s">
        <v>27</v>
      </c>
      <c r="G30" s="3" t="s">
        <v>35</v>
      </c>
    </row>
    <row r="31" spans="1:7" x14ac:dyDescent="0.2">
      <c r="A31" s="18">
        <v>552</v>
      </c>
      <c r="B31" s="18">
        <v>4</v>
      </c>
      <c r="C31" s="18">
        <f t="shared" si="0"/>
        <v>556</v>
      </c>
      <c r="D31" s="24" t="s">
        <v>33</v>
      </c>
      <c r="E31" s="18">
        <v>12.47</v>
      </c>
      <c r="F31" s="21" t="s">
        <v>27</v>
      </c>
      <c r="G31" s="3" t="s">
        <v>35</v>
      </c>
    </row>
    <row r="32" spans="1:7" x14ac:dyDescent="0.2">
      <c r="A32" s="18">
        <v>556</v>
      </c>
      <c r="B32" s="18">
        <v>4</v>
      </c>
      <c r="C32" s="18">
        <f t="shared" si="0"/>
        <v>560</v>
      </c>
      <c r="D32" s="23" t="s">
        <v>20</v>
      </c>
      <c r="E32" s="18">
        <v>248.61</v>
      </c>
      <c r="F32" s="18" t="s">
        <v>34</v>
      </c>
      <c r="G32" s="3" t="s">
        <v>35</v>
      </c>
    </row>
    <row r="33" spans="1:8" x14ac:dyDescent="0.2">
      <c r="A33" s="18">
        <v>560</v>
      </c>
      <c r="B33" s="18">
        <v>4</v>
      </c>
      <c r="C33" s="18">
        <f t="shared" si="0"/>
        <v>564</v>
      </c>
      <c r="D33" s="23" t="s">
        <v>29</v>
      </c>
      <c r="E33" s="18">
        <v>52.75</v>
      </c>
      <c r="F33" s="18" t="s">
        <v>34</v>
      </c>
      <c r="G33" s="3" t="s">
        <v>35</v>
      </c>
    </row>
    <row r="34" spans="1:8" x14ac:dyDescent="0.2">
      <c r="A34" s="18">
        <v>564</v>
      </c>
      <c r="B34" s="18">
        <v>4</v>
      </c>
      <c r="C34" s="18">
        <f t="shared" si="0"/>
        <v>568</v>
      </c>
      <c r="D34" s="23" t="s">
        <v>30</v>
      </c>
      <c r="E34" s="18">
        <v>218.55</v>
      </c>
      <c r="F34" s="18" t="s">
        <v>34</v>
      </c>
      <c r="G34" s="3" t="s">
        <v>35</v>
      </c>
    </row>
    <row r="35" spans="1:8" x14ac:dyDescent="0.2">
      <c r="A35" s="18">
        <v>568</v>
      </c>
      <c r="B35" s="18">
        <v>4</v>
      </c>
      <c r="C35" s="18">
        <f t="shared" si="0"/>
        <v>572</v>
      </c>
      <c r="D35" s="23" t="s">
        <v>31</v>
      </c>
      <c r="E35" s="18">
        <v>7.32</v>
      </c>
      <c r="F35" s="18" t="s">
        <v>34</v>
      </c>
      <c r="G35" s="3" t="s">
        <v>35</v>
      </c>
    </row>
    <row r="36" spans="1:8" x14ac:dyDescent="0.2">
      <c r="A36" s="18">
        <v>572</v>
      </c>
      <c r="B36" s="18">
        <v>4</v>
      </c>
      <c r="C36" s="18">
        <f t="shared" si="0"/>
        <v>576</v>
      </c>
      <c r="D36" s="23" t="s">
        <v>32</v>
      </c>
      <c r="E36" s="18">
        <v>27.46</v>
      </c>
      <c r="F36" s="18" t="s">
        <v>34</v>
      </c>
      <c r="G36" s="3" t="s">
        <v>35</v>
      </c>
    </row>
    <row r="37" spans="1:8" x14ac:dyDescent="0.2">
      <c r="A37" s="18">
        <v>576</v>
      </c>
      <c r="B37" s="18">
        <v>4</v>
      </c>
      <c r="C37" s="18">
        <f t="shared" si="0"/>
        <v>580</v>
      </c>
      <c r="D37" s="23" t="s">
        <v>33</v>
      </c>
      <c r="E37" s="18">
        <v>29.85</v>
      </c>
      <c r="F37" s="18" t="s">
        <v>34</v>
      </c>
      <c r="G37" s="3" t="s">
        <v>35</v>
      </c>
    </row>
    <row r="38" spans="1:8" x14ac:dyDescent="0.2">
      <c r="A38" s="18">
        <v>580</v>
      </c>
      <c r="B38" s="18">
        <v>4</v>
      </c>
      <c r="C38" s="18">
        <f t="shared" si="0"/>
        <v>584</v>
      </c>
      <c r="D38" s="24" t="s">
        <v>29</v>
      </c>
      <c r="E38" s="18">
        <v>27.87</v>
      </c>
      <c r="F38" s="21" t="s">
        <v>36</v>
      </c>
      <c r="G38" s="3" t="s">
        <v>28</v>
      </c>
      <c r="H38">
        <v>1</v>
      </c>
    </row>
    <row r="39" spans="1:8" x14ac:dyDescent="0.2">
      <c r="A39" s="18">
        <v>584</v>
      </c>
      <c r="B39" s="18">
        <v>4</v>
      </c>
      <c r="C39" s="18">
        <f t="shared" si="0"/>
        <v>588</v>
      </c>
      <c r="D39" s="24" t="s">
        <v>30</v>
      </c>
      <c r="E39" s="18">
        <v>4.51</v>
      </c>
      <c r="F39" s="21" t="s">
        <v>36</v>
      </c>
      <c r="G39" s="3" t="s">
        <v>28</v>
      </c>
      <c r="H39">
        <v>2</v>
      </c>
    </row>
    <row r="40" spans="1:8" x14ac:dyDescent="0.2">
      <c r="A40" s="18">
        <v>588</v>
      </c>
      <c r="B40" s="18">
        <v>4</v>
      </c>
      <c r="C40" s="18">
        <f t="shared" si="0"/>
        <v>592</v>
      </c>
      <c r="D40" s="24" t="s">
        <v>33</v>
      </c>
      <c r="E40" s="18">
        <v>21.98</v>
      </c>
      <c r="F40" s="21" t="s">
        <v>36</v>
      </c>
      <c r="G40" s="3" t="s">
        <v>28</v>
      </c>
      <c r="H40">
        <v>3</v>
      </c>
    </row>
    <row r="41" spans="1:8" x14ac:dyDescent="0.2">
      <c r="A41" s="18">
        <v>592</v>
      </c>
      <c r="B41" s="18">
        <v>4</v>
      </c>
      <c r="C41" s="18">
        <f t="shared" si="0"/>
        <v>596</v>
      </c>
      <c r="D41" s="24" t="s">
        <v>29</v>
      </c>
      <c r="E41" s="18">
        <v>33.409999999999997</v>
      </c>
      <c r="F41" s="21" t="s">
        <v>36</v>
      </c>
      <c r="G41" s="3" t="s">
        <v>28</v>
      </c>
      <c r="H41">
        <v>4</v>
      </c>
    </row>
    <row r="42" spans="1:8" x14ac:dyDescent="0.2">
      <c r="A42" s="18">
        <v>596</v>
      </c>
      <c r="B42" s="18">
        <v>4</v>
      </c>
      <c r="C42" s="18">
        <f t="shared" si="0"/>
        <v>600</v>
      </c>
      <c r="D42" s="24" t="s">
        <v>30</v>
      </c>
      <c r="E42" s="18">
        <v>9.11</v>
      </c>
      <c r="F42" s="21" t="s">
        <v>36</v>
      </c>
      <c r="G42" s="3" t="s">
        <v>28</v>
      </c>
      <c r="H42">
        <v>5</v>
      </c>
    </row>
    <row r="43" spans="1:8" x14ac:dyDescent="0.2">
      <c r="A43" s="18">
        <v>600</v>
      </c>
      <c r="B43" s="18">
        <v>4</v>
      </c>
      <c r="C43" s="18">
        <f t="shared" si="0"/>
        <v>604</v>
      </c>
      <c r="D43" s="24" t="s">
        <v>33</v>
      </c>
      <c r="E43" s="18">
        <v>27.88</v>
      </c>
      <c r="F43" s="21" t="s">
        <v>36</v>
      </c>
      <c r="G43" s="3" t="s">
        <v>28</v>
      </c>
      <c r="H43">
        <v>6</v>
      </c>
    </row>
    <row r="44" spans="1:8" x14ac:dyDescent="0.2">
      <c r="A44" s="18">
        <v>604</v>
      </c>
      <c r="B44" s="18">
        <v>4</v>
      </c>
      <c r="C44" s="18">
        <f t="shared" si="0"/>
        <v>608</v>
      </c>
      <c r="D44" s="24" t="s">
        <v>29</v>
      </c>
      <c r="E44" s="18">
        <v>29.99</v>
      </c>
      <c r="F44" s="21" t="s">
        <v>36</v>
      </c>
      <c r="G44" s="3" t="s">
        <v>28</v>
      </c>
      <c r="H44">
        <v>7</v>
      </c>
    </row>
    <row r="45" spans="1:8" x14ac:dyDescent="0.2">
      <c r="A45" s="18">
        <v>608</v>
      </c>
      <c r="B45" s="18">
        <v>4</v>
      </c>
      <c r="C45" s="18">
        <f t="shared" si="0"/>
        <v>612</v>
      </c>
      <c r="D45" s="24" t="s">
        <v>30</v>
      </c>
      <c r="E45" s="18">
        <v>8.93</v>
      </c>
      <c r="F45" s="21" t="s">
        <v>36</v>
      </c>
      <c r="G45" s="3" t="s">
        <v>28</v>
      </c>
      <c r="H45">
        <v>8</v>
      </c>
    </row>
    <row r="46" spans="1:8" x14ac:dyDescent="0.2">
      <c r="A46" s="18">
        <v>612</v>
      </c>
      <c r="B46" s="18">
        <v>4</v>
      </c>
      <c r="C46" s="18">
        <f t="shared" si="0"/>
        <v>616</v>
      </c>
      <c r="D46" s="24" t="s">
        <v>33</v>
      </c>
      <c r="E46" s="18">
        <v>23.13</v>
      </c>
      <c r="F46" s="21" t="s">
        <v>36</v>
      </c>
      <c r="G46" s="3" t="s">
        <v>28</v>
      </c>
      <c r="H46">
        <v>9</v>
      </c>
    </row>
    <row r="47" spans="1:8" x14ac:dyDescent="0.2">
      <c r="A47" s="18">
        <v>616</v>
      </c>
      <c r="B47" s="18">
        <v>4</v>
      </c>
      <c r="C47" s="18">
        <f t="shared" si="0"/>
        <v>620</v>
      </c>
      <c r="D47" s="24" t="s">
        <v>29</v>
      </c>
      <c r="E47" s="18">
        <v>34.86</v>
      </c>
      <c r="F47" s="21" t="s">
        <v>37</v>
      </c>
      <c r="G47" s="3" t="s">
        <v>28</v>
      </c>
      <c r="H47">
        <v>10</v>
      </c>
    </row>
    <row r="48" spans="1:8" x14ac:dyDescent="0.2">
      <c r="A48" s="18">
        <v>620</v>
      </c>
      <c r="B48" s="18">
        <v>4</v>
      </c>
      <c r="C48" s="18">
        <f t="shared" si="0"/>
        <v>624</v>
      </c>
      <c r="D48" s="24" t="s">
        <v>30</v>
      </c>
      <c r="E48" s="18">
        <v>9.48</v>
      </c>
      <c r="F48" s="21"/>
      <c r="G48" s="3" t="s">
        <v>28</v>
      </c>
      <c r="H48">
        <v>11</v>
      </c>
    </row>
    <row r="49" spans="1:8" x14ac:dyDescent="0.2">
      <c r="A49" s="18">
        <v>624</v>
      </c>
      <c r="B49" s="18">
        <v>4</v>
      </c>
      <c r="C49" s="18">
        <f t="shared" si="0"/>
        <v>628</v>
      </c>
      <c r="D49" s="24" t="s">
        <v>33</v>
      </c>
      <c r="E49" s="18">
        <v>27.79</v>
      </c>
      <c r="F49" s="21"/>
      <c r="G49" s="3" t="s">
        <v>28</v>
      </c>
      <c r="H49">
        <v>12</v>
      </c>
    </row>
    <row r="50" spans="1:8" x14ac:dyDescent="0.2">
      <c r="A50" s="18">
        <v>628</v>
      </c>
      <c r="B50" s="18">
        <v>4</v>
      </c>
      <c r="C50" s="18">
        <f t="shared" si="0"/>
        <v>632</v>
      </c>
      <c r="D50" s="24" t="s">
        <v>29</v>
      </c>
      <c r="E50" s="18">
        <v>9999</v>
      </c>
      <c r="F50" s="21"/>
      <c r="G50" s="3" t="s">
        <v>28</v>
      </c>
      <c r="H50">
        <v>13</v>
      </c>
    </row>
    <row r="51" spans="1:8" x14ac:dyDescent="0.2">
      <c r="A51" s="18">
        <v>632</v>
      </c>
      <c r="B51" s="18">
        <v>4</v>
      </c>
      <c r="C51" s="18">
        <f t="shared" si="0"/>
        <v>636</v>
      </c>
      <c r="D51" s="24" t="s">
        <v>30</v>
      </c>
      <c r="E51" s="18">
        <v>0</v>
      </c>
      <c r="F51" s="21"/>
      <c r="G51" s="3" t="s">
        <v>28</v>
      </c>
      <c r="H51">
        <v>14</v>
      </c>
    </row>
    <row r="52" spans="1:8" x14ac:dyDescent="0.2">
      <c r="A52" s="18">
        <v>636</v>
      </c>
      <c r="B52" s="18">
        <v>4</v>
      </c>
      <c r="C52" s="18">
        <f t="shared" si="0"/>
        <v>640</v>
      </c>
      <c r="D52" s="24" t="s">
        <v>33</v>
      </c>
      <c r="E52" s="18">
        <v>0</v>
      </c>
      <c r="F52" s="21"/>
      <c r="G52" s="3" t="s">
        <v>28</v>
      </c>
      <c r="H52">
        <v>15</v>
      </c>
    </row>
    <row r="53" spans="1:8" x14ac:dyDescent="0.2">
      <c r="A53" s="18">
        <v>640</v>
      </c>
      <c r="B53" s="18">
        <v>4</v>
      </c>
      <c r="C53" s="18">
        <f t="shared" si="0"/>
        <v>644</v>
      </c>
      <c r="D53" s="24" t="s">
        <v>29</v>
      </c>
      <c r="E53" s="18">
        <v>0</v>
      </c>
      <c r="F53" s="21"/>
      <c r="G53" s="3" t="s">
        <v>28</v>
      </c>
      <c r="H53">
        <v>16</v>
      </c>
    </row>
    <row r="54" spans="1:8" x14ac:dyDescent="0.2">
      <c r="A54" s="18">
        <v>644</v>
      </c>
      <c r="B54" s="18">
        <v>4</v>
      </c>
      <c r="C54" s="18">
        <f t="shared" si="0"/>
        <v>648</v>
      </c>
      <c r="D54" s="24" t="s">
        <v>30</v>
      </c>
      <c r="E54" s="18">
        <v>0</v>
      </c>
      <c r="F54" s="21"/>
      <c r="G54" s="3" t="s">
        <v>28</v>
      </c>
      <c r="H54">
        <v>17</v>
      </c>
    </row>
    <row r="55" spans="1:8" x14ac:dyDescent="0.2">
      <c r="A55" s="18">
        <v>648</v>
      </c>
      <c r="B55" s="18">
        <v>4</v>
      </c>
      <c r="C55" s="18">
        <f t="shared" si="0"/>
        <v>652</v>
      </c>
      <c r="D55" s="24" t="s">
        <v>33</v>
      </c>
      <c r="E55" s="18">
        <v>0</v>
      </c>
      <c r="F55" s="21"/>
      <c r="G55" s="3" t="s">
        <v>28</v>
      </c>
      <c r="H55">
        <v>18</v>
      </c>
    </row>
    <row r="56" spans="1:8" x14ac:dyDescent="0.2">
      <c r="A56" s="18">
        <v>652</v>
      </c>
      <c r="B56" s="18">
        <v>4</v>
      </c>
      <c r="C56" s="18">
        <f t="shared" si="0"/>
        <v>656</v>
      </c>
      <c r="D56" s="24" t="s">
        <v>29</v>
      </c>
      <c r="E56" s="18">
        <v>0</v>
      </c>
      <c r="F56" s="21"/>
      <c r="G56" s="3" t="s">
        <v>28</v>
      </c>
      <c r="H56">
        <v>19</v>
      </c>
    </row>
    <row r="57" spans="1:8" x14ac:dyDescent="0.2">
      <c r="A57" s="18">
        <v>656</v>
      </c>
      <c r="B57" s="18">
        <v>4</v>
      </c>
      <c r="C57" s="18">
        <f t="shared" si="0"/>
        <v>660</v>
      </c>
      <c r="D57" s="24" t="s">
        <v>30</v>
      </c>
      <c r="E57" s="18">
        <v>0</v>
      </c>
      <c r="F57" s="21"/>
      <c r="G57" s="3" t="s">
        <v>28</v>
      </c>
      <c r="H57">
        <v>20</v>
      </c>
    </row>
    <row r="58" spans="1:8" x14ac:dyDescent="0.2">
      <c r="A58" s="18">
        <v>660</v>
      </c>
      <c r="B58" s="18">
        <v>4</v>
      </c>
      <c r="C58" s="18">
        <f t="shared" si="0"/>
        <v>664</v>
      </c>
      <c r="D58" s="24" t="s">
        <v>33</v>
      </c>
      <c r="E58" s="18">
        <v>0</v>
      </c>
      <c r="F58" s="21"/>
      <c r="G58" s="3" t="s">
        <v>28</v>
      </c>
      <c r="H58">
        <v>21</v>
      </c>
    </row>
    <row r="59" spans="1:8" x14ac:dyDescent="0.2">
      <c r="A59" s="18">
        <v>664</v>
      </c>
      <c r="B59" s="18">
        <v>4</v>
      </c>
      <c r="C59" s="18">
        <f t="shared" si="0"/>
        <v>668</v>
      </c>
      <c r="D59" s="24" t="s">
        <v>29</v>
      </c>
      <c r="E59" s="18">
        <v>0</v>
      </c>
      <c r="F59" s="21"/>
      <c r="G59" s="3" t="s">
        <v>28</v>
      </c>
      <c r="H59">
        <v>22</v>
      </c>
    </row>
    <row r="60" spans="1:8" x14ac:dyDescent="0.2">
      <c r="A60" s="18">
        <v>668</v>
      </c>
      <c r="B60" s="18">
        <v>4</v>
      </c>
      <c r="C60" s="18">
        <f t="shared" si="0"/>
        <v>672</v>
      </c>
      <c r="D60" s="24" t="s">
        <v>30</v>
      </c>
      <c r="E60" s="18">
        <v>0</v>
      </c>
      <c r="F60" s="21"/>
      <c r="G60" s="3" t="s">
        <v>28</v>
      </c>
      <c r="H60">
        <v>23</v>
      </c>
    </row>
    <row r="61" spans="1:8" x14ac:dyDescent="0.2">
      <c r="A61" s="18">
        <v>672</v>
      </c>
      <c r="B61" s="18">
        <v>4</v>
      </c>
      <c r="C61" s="18">
        <f t="shared" si="0"/>
        <v>676</v>
      </c>
      <c r="D61" s="24" t="s">
        <v>33</v>
      </c>
      <c r="E61" s="18">
        <v>0</v>
      </c>
      <c r="F61" s="21"/>
      <c r="G61" s="3" t="s">
        <v>28</v>
      </c>
      <c r="H61">
        <v>24</v>
      </c>
    </row>
    <row r="62" spans="1:8" x14ac:dyDescent="0.2">
      <c r="A62" s="18">
        <v>676</v>
      </c>
      <c r="B62" s="18">
        <v>4</v>
      </c>
      <c r="C62" s="18">
        <f t="shared" si="0"/>
        <v>680</v>
      </c>
      <c r="D62" s="24" t="s">
        <v>29</v>
      </c>
      <c r="E62" s="18">
        <v>0</v>
      </c>
      <c r="F62" s="21"/>
      <c r="G62" s="3" t="s">
        <v>28</v>
      </c>
      <c r="H62">
        <v>25</v>
      </c>
    </row>
    <row r="63" spans="1:8" x14ac:dyDescent="0.2">
      <c r="A63" s="18">
        <v>680</v>
      </c>
      <c r="B63" s="18">
        <v>4</v>
      </c>
      <c r="C63" s="18">
        <f t="shared" si="0"/>
        <v>684</v>
      </c>
      <c r="D63" s="24" t="s">
        <v>30</v>
      </c>
      <c r="E63" s="18">
        <v>0</v>
      </c>
      <c r="F63" s="21"/>
      <c r="G63" s="3" t="s">
        <v>28</v>
      </c>
      <c r="H63">
        <v>26</v>
      </c>
    </row>
    <row r="64" spans="1:8" x14ac:dyDescent="0.2">
      <c r="A64" s="18">
        <v>684</v>
      </c>
      <c r="B64" s="18">
        <v>4</v>
      </c>
      <c r="C64" s="18">
        <f t="shared" si="0"/>
        <v>688</v>
      </c>
      <c r="D64" s="24" t="s">
        <v>33</v>
      </c>
      <c r="E64" s="18">
        <v>0</v>
      </c>
      <c r="F64" s="21"/>
      <c r="G64" s="3" t="s">
        <v>28</v>
      </c>
      <c r="H64">
        <v>27</v>
      </c>
    </row>
    <row r="65" spans="1:8" x14ac:dyDescent="0.2">
      <c r="A65" s="18">
        <v>688</v>
      </c>
      <c r="B65" s="18">
        <v>4</v>
      </c>
      <c r="C65" s="18">
        <f t="shared" si="0"/>
        <v>692</v>
      </c>
      <c r="D65" s="24" t="s">
        <v>29</v>
      </c>
      <c r="E65" s="18">
        <v>0</v>
      </c>
      <c r="F65" s="21"/>
      <c r="G65" s="3" t="s">
        <v>28</v>
      </c>
      <c r="H65">
        <v>28</v>
      </c>
    </row>
    <row r="66" spans="1:8" x14ac:dyDescent="0.2">
      <c r="A66" s="18">
        <v>692</v>
      </c>
      <c r="B66" s="18">
        <v>4</v>
      </c>
      <c r="C66" s="18">
        <f t="shared" si="0"/>
        <v>696</v>
      </c>
      <c r="D66" s="24" t="s">
        <v>30</v>
      </c>
      <c r="E66" s="18">
        <v>0</v>
      </c>
      <c r="F66" s="21"/>
      <c r="G66" s="3" t="s">
        <v>28</v>
      </c>
      <c r="H66">
        <v>29</v>
      </c>
    </row>
    <row r="67" spans="1:8" x14ac:dyDescent="0.2">
      <c r="A67" s="18">
        <v>696</v>
      </c>
      <c r="B67" s="18">
        <v>4</v>
      </c>
      <c r="C67" s="18">
        <f t="shared" si="0"/>
        <v>700</v>
      </c>
      <c r="D67" s="24" t="s">
        <v>33</v>
      </c>
      <c r="E67" s="18">
        <v>0</v>
      </c>
      <c r="F67" s="21"/>
      <c r="G67" s="3" t="s">
        <v>28</v>
      </c>
      <c r="H67">
        <v>30</v>
      </c>
    </row>
    <row r="68" spans="1:8" x14ac:dyDescent="0.2">
      <c r="A68" s="18">
        <v>700</v>
      </c>
      <c r="B68" s="18">
        <v>4</v>
      </c>
      <c r="C68" s="18">
        <f t="shared" si="0"/>
        <v>704</v>
      </c>
      <c r="D68" s="24" t="s">
        <v>29</v>
      </c>
      <c r="E68" s="18">
        <v>0</v>
      </c>
      <c r="F68" s="21"/>
      <c r="G68" s="3" t="s">
        <v>28</v>
      </c>
      <c r="H68">
        <v>31</v>
      </c>
    </row>
    <row r="69" spans="1:8" x14ac:dyDescent="0.2">
      <c r="A69" s="18">
        <v>704</v>
      </c>
      <c r="B69" s="18">
        <v>4</v>
      </c>
      <c r="C69" s="18">
        <f t="shared" si="0"/>
        <v>708</v>
      </c>
      <c r="D69" s="24" t="s">
        <v>30</v>
      </c>
      <c r="E69" s="18">
        <v>0</v>
      </c>
      <c r="F69" s="21"/>
      <c r="G69" s="3" t="s">
        <v>28</v>
      </c>
      <c r="H69">
        <v>32</v>
      </c>
    </row>
    <row r="70" spans="1:8" x14ac:dyDescent="0.2">
      <c r="A70" s="18">
        <v>708</v>
      </c>
      <c r="B70" s="18">
        <v>4</v>
      </c>
      <c r="C70" s="18">
        <f t="shared" si="0"/>
        <v>712</v>
      </c>
      <c r="D70" s="24" t="s">
        <v>33</v>
      </c>
      <c r="E70" s="18">
        <v>0</v>
      </c>
      <c r="F70" s="21"/>
      <c r="G70" s="3" t="s">
        <v>28</v>
      </c>
      <c r="H70">
        <v>33</v>
      </c>
    </row>
    <row r="71" spans="1:8" x14ac:dyDescent="0.2">
      <c r="A71" s="18">
        <v>712</v>
      </c>
      <c r="B71" s="18">
        <v>4</v>
      </c>
      <c r="C71" s="18">
        <f t="shared" si="0"/>
        <v>716</v>
      </c>
      <c r="D71" s="24" t="s">
        <v>29</v>
      </c>
      <c r="E71" s="18">
        <v>0</v>
      </c>
      <c r="F71" s="21"/>
      <c r="G71" s="3" t="s">
        <v>28</v>
      </c>
      <c r="H71">
        <v>34</v>
      </c>
    </row>
    <row r="72" spans="1:8" x14ac:dyDescent="0.2">
      <c r="A72" s="18">
        <v>716</v>
      </c>
      <c r="B72" s="18">
        <v>4</v>
      </c>
      <c r="C72" s="18">
        <f t="shared" si="0"/>
        <v>720</v>
      </c>
      <c r="D72" s="24" t="s">
        <v>30</v>
      </c>
      <c r="E72" s="18">
        <v>0</v>
      </c>
      <c r="F72" s="21"/>
      <c r="G72" s="3" t="s">
        <v>28</v>
      </c>
      <c r="H72">
        <v>35</v>
      </c>
    </row>
    <row r="73" spans="1:8" x14ac:dyDescent="0.2">
      <c r="A73" s="18">
        <v>720</v>
      </c>
      <c r="B73" s="18">
        <v>4</v>
      </c>
      <c r="C73" s="18">
        <f t="shared" ref="C73:C136" si="1">A73+B73</f>
        <v>724</v>
      </c>
      <c r="D73" s="24" t="s">
        <v>33</v>
      </c>
      <c r="E73" s="18">
        <v>0</v>
      </c>
      <c r="F73" s="21"/>
      <c r="G73" s="3" t="s">
        <v>28</v>
      </c>
      <c r="H73">
        <v>36</v>
      </c>
    </row>
    <row r="74" spans="1:8" x14ac:dyDescent="0.2">
      <c r="A74" s="18">
        <v>724</v>
      </c>
      <c r="B74" s="18">
        <v>4</v>
      </c>
      <c r="C74" s="18">
        <f t="shared" si="1"/>
        <v>728</v>
      </c>
      <c r="D74" s="24" t="s">
        <v>29</v>
      </c>
      <c r="E74" s="18">
        <v>0</v>
      </c>
      <c r="F74" s="21"/>
      <c r="G74" s="3" t="s">
        <v>28</v>
      </c>
      <c r="H74">
        <v>37</v>
      </c>
    </row>
    <row r="75" spans="1:8" x14ac:dyDescent="0.2">
      <c r="A75" s="18">
        <v>728</v>
      </c>
      <c r="B75" s="18">
        <v>4</v>
      </c>
      <c r="C75" s="18">
        <f t="shared" si="1"/>
        <v>732</v>
      </c>
      <c r="D75" s="24" t="s">
        <v>30</v>
      </c>
      <c r="E75" s="18">
        <v>0</v>
      </c>
      <c r="F75" s="21"/>
      <c r="G75" s="3" t="s">
        <v>28</v>
      </c>
      <c r="H75">
        <v>38</v>
      </c>
    </row>
    <row r="76" spans="1:8" x14ac:dyDescent="0.2">
      <c r="A76" s="18">
        <v>732</v>
      </c>
      <c r="B76" s="18">
        <v>4</v>
      </c>
      <c r="C76" s="18">
        <f t="shared" si="1"/>
        <v>736</v>
      </c>
      <c r="D76" s="24" t="s">
        <v>33</v>
      </c>
      <c r="E76" s="18">
        <v>0</v>
      </c>
      <c r="F76" s="21"/>
      <c r="G76" s="3" t="s">
        <v>28</v>
      </c>
      <c r="H76">
        <v>39</v>
      </c>
    </row>
    <row r="77" spans="1:8" x14ac:dyDescent="0.2">
      <c r="A77" s="18">
        <v>736</v>
      </c>
      <c r="B77" s="18">
        <v>4</v>
      </c>
      <c r="C77" s="18">
        <f t="shared" si="1"/>
        <v>740</v>
      </c>
      <c r="D77" s="24" t="s">
        <v>29</v>
      </c>
      <c r="E77" s="18">
        <v>0</v>
      </c>
      <c r="F77" s="21"/>
      <c r="G77" s="3" t="s">
        <v>28</v>
      </c>
      <c r="H77">
        <v>40</v>
      </c>
    </row>
    <row r="78" spans="1:8" x14ac:dyDescent="0.2">
      <c r="A78" s="18">
        <v>740</v>
      </c>
      <c r="B78" s="18">
        <v>4</v>
      </c>
      <c r="C78" s="18">
        <f t="shared" si="1"/>
        <v>744</v>
      </c>
      <c r="D78" s="24" t="s">
        <v>30</v>
      </c>
      <c r="E78" s="18">
        <v>0</v>
      </c>
      <c r="F78" s="21"/>
      <c r="G78" s="3" t="s">
        <v>28</v>
      </c>
      <c r="H78">
        <v>41</v>
      </c>
    </row>
    <row r="79" spans="1:8" x14ac:dyDescent="0.2">
      <c r="A79" s="18">
        <v>744</v>
      </c>
      <c r="B79" s="18">
        <v>4</v>
      </c>
      <c r="C79" s="18">
        <f t="shared" si="1"/>
        <v>748</v>
      </c>
      <c r="D79" s="24" t="s">
        <v>33</v>
      </c>
      <c r="E79" s="18">
        <v>0</v>
      </c>
      <c r="F79" s="21"/>
      <c r="G79" s="3" t="s">
        <v>28</v>
      </c>
      <c r="H79">
        <v>42</v>
      </c>
    </row>
    <row r="80" spans="1:8" x14ac:dyDescent="0.2">
      <c r="A80" s="18">
        <v>748</v>
      </c>
      <c r="B80" s="18">
        <v>4</v>
      </c>
      <c r="C80" s="18">
        <f t="shared" si="1"/>
        <v>752</v>
      </c>
      <c r="D80" s="24" t="s">
        <v>29</v>
      </c>
      <c r="E80" s="18">
        <v>0</v>
      </c>
      <c r="F80" s="21"/>
      <c r="G80" s="3" t="s">
        <v>28</v>
      </c>
      <c r="H80">
        <v>43</v>
      </c>
    </row>
    <row r="81" spans="1:8" x14ac:dyDescent="0.2">
      <c r="A81" s="18">
        <v>752</v>
      </c>
      <c r="B81" s="18">
        <v>4</v>
      </c>
      <c r="C81" s="18">
        <f t="shared" si="1"/>
        <v>756</v>
      </c>
      <c r="D81" s="24" t="s">
        <v>30</v>
      </c>
      <c r="E81" s="18">
        <v>0</v>
      </c>
      <c r="F81" s="21"/>
      <c r="G81" s="3" t="s">
        <v>28</v>
      </c>
      <c r="H81">
        <v>44</v>
      </c>
    </row>
    <row r="82" spans="1:8" x14ac:dyDescent="0.2">
      <c r="A82" s="18">
        <v>756</v>
      </c>
      <c r="B82" s="18">
        <v>4</v>
      </c>
      <c r="C82" s="18">
        <f t="shared" si="1"/>
        <v>760</v>
      </c>
      <c r="D82" s="24" t="s">
        <v>33</v>
      </c>
      <c r="E82" s="18">
        <v>0</v>
      </c>
      <c r="F82" s="21"/>
      <c r="G82" s="3" t="s">
        <v>28</v>
      </c>
      <c r="H82">
        <v>45</v>
      </c>
    </row>
    <row r="83" spans="1:8" x14ac:dyDescent="0.2">
      <c r="A83" s="18">
        <v>760</v>
      </c>
      <c r="B83" s="18">
        <v>4</v>
      </c>
      <c r="C83" s="18">
        <f t="shared" si="1"/>
        <v>764</v>
      </c>
      <c r="D83" s="24" t="s">
        <v>29</v>
      </c>
      <c r="E83" s="18">
        <v>0</v>
      </c>
      <c r="F83" s="21"/>
      <c r="G83" s="3" t="s">
        <v>28</v>
      </c>
      <c r="H83">
        <v>46</v>
      </c>
    </row>
    <row r="84" spans="1:8" x14ac:dyDescent="0.2">
      <c r="A84" s="18">
        <v>764</v>
      </c>
      <c r="B84" s="18">
        <v>4</v>
      </c>
      <c r="C84" s="18">
        <f t="shared" si="1"/>
        <v>768</v>
      </c>
      <c r="D84" s="24" t="s">
        <v>30</v>
      </c>
      <c r="E84" s="18">
        <v>0</v>
      </c>
      <c r="F84" s="21"/>
      <c r="G84" s="3" t="s">
        <v>28</v>
      </c>
      <c r="H84">
        <v>47</v>
      </c>
    </row>
    <row r="85" spans="1:8" x14ac:dyDescent="0.2">
      <c r="A85" s="18">
        <v>768</v>
      </c>
      <c r="B85" s="18">
        <v>4</v>
      </c>
      <c r="C85" s="18">
        <f t="shared" si="1"/>
        <v>772</v>
      </c>
      <c r="D85" s="24" t="s">
        <v>33</v>
      </c>
      <c r="E85" s="18">
        <v>0</v>
      </c>
      <c r="F85" s="21"/>
      <c r="G85" s="3" t="s">
        <v>28</v>
      </c>
      <c r="H85">
        <v>48</v>
      </c>
    </row>
    <row r="86" spans="1:8" x14ac:dyDescent="0.2">
      <c r="A86" s="18">
        <v>772</v>
      </c>
      <c r="B86" s="18">
        <v>4</v>
      </c>
      <c r="C86" s="18">
        <f t="shared" si="1"/>
        <v>776</v>
      </c>
      <c r="D86" s="24" t="s">
        <v>29</v>
      </c>
      <c r="E86" s="18">
        <v>0</v>
      </c>
      <c r="F86" s="21"/>
      <c r="G86" s="3" t="s">
        <v>28</v>
      </c>
      <c r="H86">
        <v>49</v>
      </c>
    </row>
    <row r="87" spans="1:8" x14ac:dyDescent="0.2">
      <c r="A87" s="18">
        <v>776</v>
      </c>
      <c r="B87" s="18">
        <v>4</v>
      </c>
      <c r="C87" s="18">
        <f t="shared" si="1"/>
        <v>780</v>
      </c>
      <c r="D87" s="24" t="s">
        <v>30</v>
      </c>
      <c r="E87" s="18">
        <v>0</v>
      </c>
      <c r="F87" s="21"/>
      <c r="G87" s="3" t="s">
        <v>28</v>
      </c>
      <c r="H87">
        <v>50</v>
      </c>
    </row>
    <row r="88" spans="1:8" x14ac:dyDescent="0.2">
      <c r="A88" s="18">
        <v>780</v>
      </c>
      <c r="B88" s="18">
        <v>4</v>
      </c>
      <c r="C88" s="18">
        <f t="shared" si="1"/>
        <v>784</v>
      </c>
      <c r="D88" s="24" t="s">
        <v>33</v>
      </c>
      <c r="E88" s="18">
        <v>0</v>
      </c>
      <c r="F88" s="21"/>
      <c r="G88" s="3" t="s">
        <v>28</v>
      </c>
      <c r="H88">
        <v>51</v>
      </c>
    </row>
    <row r="89" spans="1:8" x14ac:dyDescent="0.2">
      <c r="A89" s="18">
        <v>784</v>
      </c>
      <c r="B89" s="18">
        <v>4</v>
      </c>
      <c r="C89" s="18">
        <f t="shared" si="1"/>
        <v>788</v>
      </c>
      <c r="D89" s="24"/>
      <c r="E89" s="18">
        <v>0</v>
      </c>
      <c r="F89" s="26" t="s">
        <v>42</v>
      </c>
    </row>
    <row r="90" spans="1:8" x14ac:dyDescent="0.2">
      <c r="A90" s="18">
        <v>788</v>
      </c>
      <c r="B90" s="18">
        <v>4</v>
      </c>
      <c r="C90" s="18">
        <f t="shared" si="1"/>
        <v>792</v>
      </c>
      <c r="D90" s="25" t="s">
        <v>29</v>
      </c>
      <c r="E90" s="18">
        <v>0</v>
      </c>
      <c r="F90" s="22"/>
      <c r="G90" s="3" t="s">
        <v>35</v>
      </c>
      <c r="H90">
        <v>1</v>
      </c>
    </row>
    <row r="91" spans="1:8" x14ac:dyDescent="0.2">
      <c r="A91" s="18">
        <v>792</v>
      </c>
      <c r="B91" s="18">
        <v>4</v>
      </c>
      <c r="C91" s="18">
        <f t="shared" si="1"/>
        <v>796</v>
      </c>
      <c r="D91" s="25" t="s">
        <v>30</v>
      </c>
      <c r="E91" s="18">
        <v>0</v>
      </c>
      <c r="F91" s="22"/>
      <c r="G91" s="3" t="s">
        <v>35</v>
      </c>
      <c r="H91">
        <v>2</v>
      </c>
    </row>
    <row r="92" spans="1:8" x14ac:dyDescent="0.2">
      <c r="A92" s="18">
        <v>796</v>
      </c>
      <c r="B92" s="18">
        <v>4</v>
      </c>
      <c r="C92" s="18">
        <f t="shared" si="1"/>
        <v>800</v>
      </c>
      <c r="D92" s="25" t="s">
        <v>33</v>
      </c>
      <c r="E92" s="18">
        <v>0</v>
      </c>
      <c r="F92" s="22"/>
      <c r="G92" s="3" t="s">
        <v>35</v>
      </c>
      <c r="H92">
        <v>3</v>
      </c>
    </row>
    <row r="93" spans="1:8" x14ac:dyDescent="0.2">
      <c r="A93" s="18">
        <v>800</v>
      </c>
      <c r="B93" s="18">
        <v>4</v>
      </c>
      <c r="C93" s="18">
        <f t="shared" si="1"/>
        <v>804</v>
      </c>
      <c r="D93" s="25" t="s">
        <v>29</v>
      </c>
      <c r="E93" s="18">
        <v>43.05</v>
      </c>
      <c r="F93" s="22"/>
      <c r="G93" s="3" t="s">
        <v>35</v>
      </c>
      <c r="H93">
        <v>4</v>
      </c>
    </row>
    <row r="94" spans="1:8" x14ac:dyDescent="0.2">
      <c r="A94" s="18">
        <v>804</v>
      </c>
      <c r="B94" s="18">
        <v>4</v>
      </c>
      <c r="C94" s="18">
        <f t="shared" si="1"/>
        <v>808</v>
      </c>
      <c r="D94" s="25" t="s">
        <v>30</v>
      </c>
      <c r="E94" s="18">
        <v>1.91</v>
      </c>
      <c r="F94" s="22"/>
      <c r="G94" s="3" t="s">
        <v>35</v>
      </c>
      <c r="H94">
        <v>5</v>
      </c>
    </row>
    <row r="95" spans="1:8" x14ac:dyDescent="0.2">
      <c r="A95" s="18">
        <v>808</v>
      </c>
      <c r="B95" s="18">
        <v>4</v>
      </c>
      <c r="C95" s="18">
        <f t="shared" si="1"/>
        <v>812</v>
      </c>
      <c r="D95" s="25" t="s">
        <v>33</v>
      </c>
      <c r="E95" s="18">
        <v>27.6</v>
      </c>
      <c r="F95" s="22"/>
      <c r="G95" s="3" t="s">
        <v>35</v>
      </c>
      <c r="H95">
        <v>6</v>
      </c>
    </row>
    <row r="96" spans="1:8" x14ac:dyDescent="0.2">
      <c r="A96" s="18">
        <v>812</v>
      </c>
      <c r="B96" s="18">
        <v>4</v>
      </c>
      <c r="C96" s="18">
        <f t="shared" si="1"/>
        <v>816</v>
      </c>
      <c r="D96" s="25" t="s">
        <v>29</v>
      </c>
      <c r="E96" s="18">
        <v>38.67</v>
      </c>
      <c r="F96" s="22"/>
      <c r="G96" s="3" t="s">
        <v>35</v>
      </c>
      <c r="H96">
        <v>7</v>
      </c>
    </row>
    <row r="97" spans="1:8" x14ac:dyDescent="0.2">
      <c r="A97" s="18">
        <v>816</v>
      </c>
      <c r="B97" s="18">
        <v>4</v>
      </c>
      <c r="C97" s="18">
        <f t="shared" si="1"/>
        <v>820</v>
      </c>
      <c r="D97" s="25" t="s">
        <v>30</v>
      </c>
      <c r="E97" s="18">
        <v>22.18</v>
      </c>
      <c r="F97" s="22"/>
      <c r="G97" s="3" t="s">
        <v>35</v>
      </c>
      <c r="H97">
        <v>8</v>
      </c>
    </row>
    <row r="98" spans="1:8" x14ac:dyDescent="0.2">
      <c r="A98" s="18">
        <v>820</v>
      </c>
      <c r="B98" s="18">
        <v>4</v>
      </c>
      <c r="C98" s="18">
        <f t="shared" si="1"/>
        <v>824</v>
      </c>
      <c r="D98" s="25" t="s">
        <v>33</v>
      </c>
      <c r="E98" s="18">
        <v>31.47</v>
      </c>
      <c r="F98" s="22"/>
      <c r="G98" s="3" t="s">
        <v>35</v>
      </c>
      <c r="H98">
        <v>9</v>
      </c>
    </row>
    <row r="99" spans="1:8" x14ac:dyDescent="0.2">
      <c r="A99" s="18">
        <v>824</v>
      </c>
      <c r="B99" s="18">
        <v>4</v>
      </c>
      <c r="C99" s="18">
        <f t="shared" si="1"/>
        <v>828</v>
      </c>
      <c r="D99" s="25" t="s">
        <v>29</v>
      </c>
      <c r="E99" s="18">
        <v>20.43</v>
      </c>
      <c r="F99" s="22"/>
      <c r="G99" s="3" t="s">
        <v>35</v>
      </c>
      <c r="H99">
        <v>10</v>
      </c>
    </row>
    <row r="100" spans="1:8" x14ac:dyDescent="0.2">
      <c r="A100" s="18">
        <v>828</v>
      </c>
      <c r="B100" s="18">
        <v>4</v>
      </c>
      <c r="C100" s="18">
        <f t="shared" si="1"/>
        <v>832</v>
      </c>
      <c r="D100" s="25" t="s">
        <v>30</v>
      </c>
      <c r="E100" s="18">
        <v>2.21</v>
      </c>
      <c r="F100" s="22"/>
      <c r="G100" s="3" t="s">
        <v>35</v>
      </c>
      <c r="H100">
        <v>11</v>
      </c>
    </row>
    <row r="101" spans="1:8" x14ac:dyDescent="0.2">
      <c r="A101" s="18">
        <v>832</v>
      </c>
      <c r="B101" s="18">
        <v>4</v>
      </c>
      <c r="C101" s="18">
        <f t="shared" si="1"/>
        <v>836</v>
      </c>
      <c r="D101" s="25" t="s">
        <v>33</v>
      </c>
      <c r="E101" s="18">
        <v>20.93</v>
      </c>
      <c r="F101" s="22"/>
      <c r="G101" s="3" t="s">
        <v>35</v>
      </c>
      <c r="H101">
        <v>12</v>
      </c>
    </row>
    <row r="102" spans="1:8" x14ac:dyDescent="0.2">
      <c r="A102" s="18">
        <v>836</v>
      </c>
      <c r="B102" s="18">
        <v>4</v>
      </c>
      <c r="C102" s="18">
        <f t="shared" si="1"/>
        <v>840</v>
      </c>
      <c r="D102" s="25" t="s">
        <v>29</v>
      </c>
      <c r="E102" s="18">
        <v>23.79</v>
      </c>
      <c r="F102" s="22"/>
      <c r="G102" s="3" t="s">
        <v>35</v>
      </c>
      <c r="H102">
        <v>13</v>
      </c>
    </row>
    <row r="103" spans="1:8" x14ac:dyDescent="0.2">
      <c r="A103" s="18">
        <v>840</v>
      </c>
      <c r="B103" s="18">
        <v>4</v>
      </c>
      <c r="C103" s="18">
        <f t="shared" si="1"/>
        <v>844</v>
      </c>
      <c r="D103" s="25" t="s">
        <v>30</v>
      </c>
      <c r="E103" s="18">
        <v>4.37</v>
      </c>
      <c r="F103" s="22"/>
      <c r="G103" s="3" t="s">
        <v>35</v>
      </c>
      <c r="H103">
        <v>14</v>
      </c>
    </row>
    <row r="104" spans="1:8" x14ac:dyDescent="0.2">
      <c r="A104" s="18">
        <v>844</v>
      </c>
      <c r="B104" s="18">
        <v>4</v>
      </c>
      <c r="C104" s="18">
        <f t="shared" si="1"/>
        <v>848</v>
      </c>
      <c r="D104" s="25" t="s">
        <v>33</v>
      </c>
      <c r="E104" s="18">
        <v>25.17</v>
      </c>
      <c r="F104" s="22"/>
      <c r="G104" s="3" t="s">
        <v>35</v>
      </c>
      <c r="H104">
        <v>15</v>
      </c>
    </row>
    <row r="105" spans="1:8" x14ac:dyDescent="0.2">
      <c r="A105" s="18">
        <v>848</v>
      </c>
      <c r="B105" s="18">
        <v>4</v>
      </c>
      <c r="C105" s="18">
        <f t="shared" si="1"/>
        <v>852</v>
      </c>
      <c r="D105" s="25" t="s">
        <v>29</v>
      </c>
      <c r="E105" s="18">
        <v>30.05</v>
      </c>
      <c r="F105" s="22"/>
      <c r="G105" s="3" t="s">
        <v>35</v>
      </c>
      <c r="H105">
        <v>16</v>
      </c>
    </row>
    <row r="106" spans="1:8" x14ac:dyDescent="0.2">
      <c r="A106" s="18">
        <v>852</v>
      </c>
      <c r="B106" s="18">
        <v>4</v>
      </c>
      <c r="C106" s="18">
        <f t="shared" si="1"/>
        <v>856</v>
      </c>
      <c r="D106" s="25" t="s">
        <v>30</v>
      </c>
      <c r="E106" s="18">
        <v>8.89</v>
      </c>
      <c r="F106" s="22"/>
      <c r="G106" s="3" t="s">
        <v>35</v>
      </c>
      <c r="H106">
        <v>17</v>
      </c>
    </row>
    <row r="107" spans="1:8" x14ac:dyDescent="0.2">
      <c r="A107" s="18">
        <v>856</v>
      </c>
      <c r="B107" s="18">
        <v>4</v>
      </c>
      <c r="C107" s="18">
        <f t="shared" si="1"/>
        <v>860</v>
      </c>
      <c r="D107" s="25" t="s">
        <v>33</v>
      </c>
      <c r="E107" s="18">
        <v>26.92</v>
      </c>
      <c r="F107" s="22"/>
      <c r="G107" s="3" t="s">
        <v>35</v>
      </c>
      <c r="H107">
        <v>18</v>
      </c>
    </row>
    <row r="108" spans="1:8" x14ac:dyDescent="0.2">
      <c r="A108" s="18">
        <v>860</v>
      </c>
      <c r="B108" s="18">
        <v>4</v>
      </c>
      <c r="C108" s="18">
        <f t="shared" si="1"/>
        <v>864</v>
      </c>
      <c r="D108" s="25" t="s">
        <v>29</v>
      </c>
      <c r="E108" s="18">
        <v>60.53</v>
      </c>
      <c r="F108" s="22"/>
      <c r="G108" s="3" t="s">
        <v>35</v>
      </c>
      <c r="H108">
        <v>19</v>
      </c>
    </row>
    <row r="109" spans="1:8" x14ac:dyDescent="0.2">
      <c r="A109" s="18">
        <v>864</v>
      </c>
      <c r="B109" s="18">
        <v>4</v>
      </c>
      <c r="C109" s="18">
        <f t="shared" si="1"/>
        <v>868</v>
      </c>
      <c r="D109" s="25" t="s">
        <v>30</v>
      </c>
      <c r="E109" s="18">
        <v>17.29</v>
      </c>
      <c r="F109" s="22"/>
      <c r="G109" s="3" t="s">
        <v>35</v>
      </c>
      <c r="H109">
        <v>20</v>
      </c>
    </row>
    <row r="110" spans="1:8" x14ac:dyDescent="0.2">
      <c r="A110" s="18">
        <v>868</v>
      </c>
      <c r="B110" s="18">
        <v>4</v>
      </c>
      <c r="C110" s="18">
        <f t="shared" si="1"/>
        <v>872</v>
      </c>
      <c r="D110" s="25" t="s">
        <v>33</v>
      </c>
      <c r="E110" s="18">
        <v>27.85</v>
      </c>
      <c r="F110" s="22"/>
      <c r="G110" s="3" t="s">
        <v>35</v>
      </c>
      <c r="H110">
        <v>21</v>
      </c>
    </row>
    <row r="111" spans="1:8" x14ac:dyDescent="0.2">
      <c r="A111" s="18">
        <v>872</v>
      </c>
      <c r="B111" s="18">
        <v>4</v>
      </c>
      <c r="C111" s="18">
        <f t="shared" si="1"/>
        <v>876</v>
      </c>
      <c r="D111" s="25" t="s">
        <v>29</v>
      </c>
      <c r="E111" s="18">
        <v>51.85</v>
      </c>
      <c r="F111" s="22"/>
      <c r="G111" s="3" t="s">
        <v>35</v>
      </c>
      <c r="H111">
        <v>22</v>
      </c>
    </row>
    <row r="112" spans="1:8" x14ac:dyDescent="0.2">
      <c r="A112" s="18">
        <v>876</v>
      </c>
      <c r="B112" s="18">
        <v>4</v>
      </c>
      <c r="C112" s="18">
        <f t="shared" si="1"/>
        <v>880</v>
      </c>
      <c r="D112" s="25" t="s">
        <v>30</v>
      </c>
      <c r="E112" s="18">
        <v>10.29</v>
      </c>
      <c r="F112" s="22"/>
      <c r="G112" s="3" t="s">
        <v>35</v>
      </c>
      <c r="H112">
        <v>23</v>
      </c>
    </row>
    <row r="113" spans="1:8" x14ac:dyDescent="0.2">
      <c r="A113" s="18">
        <v>880</v>
      </c>
      <c r="B113" s="18">
        <v>4</v>
      </c>
      <c r="C113" s="18">
        <f t="shared" si="1"/>
        <v>884</v>
      </c>
      <c r="D113" s="25" t="s">
        <v>33</v>
      </c>
      <c r="E113" s="18">
        <v>28.66</v>
      </c>
      <c r="F113" s="22"/>
      <c r="G113" s="3" t="s">
        <v>35</v>
      </c>
      <c r="H113">
        <v>24</v>
      </c>
    </row>
    <row r="114" spans="1:8" x14ac:dyDescent="0.2">
      <c r="A114" s="18">
        <v>884</v>
      </c>
      <c r="B114" s="18">
        <v>4</v>
      </c>
      <c r="C114" s="18">
        <f t="shared" si="1"/>
        <v>888</v>
      </c>
      <c r="D114" s="25" t="s">
        <v>29</v>
      </c>
      <c r="E114" s="18">
        <v>58.82</v>
      </c>
      <c r="F114" s="22"/>
      <c r="G114" s="3" t="s">
        <v>35</v>
      </c>
      <c r="H114">
        <v>25</v>
      </c>
    </row>
    <row r="115" spans="1:8" x14ac:dyDescent="0.2">
      <c r="A115" s="18">
        <v>888</v>
      </c>
      <c r="B115" s="18">
        <v>4</v>
      </c>
      <c r="C115" s="18">
        <f t="shared" si="1"/>
        <v>892</v>
      </c>
      <c r="D115" s="25" t="s">
        <v>30</v>
      </c>
      <c r="E115" s="18">
        <v>7.55</v>
      </c>
      <c r="F115" s="22"/>
      <c r="G115" s="3" t="s">
        <v>35</v>
      </c>
      <c r="H115">
        <v>26</v>
      </c>
    </row>
    <row r="116" spans="1:8" x14ac:dyDescent="0.2">
      <c r="A116" s="18">
        <v>892</v>
      </c>
      <c r="B116" s="18">
        <v>4</v>
      </c>
      <c r="C116" s="18">
        <f t="shared" si="1"/>
        <v>896</v>
      </c>
      <c r="D116" s="25" t="s">
        <v>33</v>
      </c>
      <c r="E116" s="18">
        <v>29.66</v>
      </c>
      <c r="F116" s="22"/>
      <c r="G116" s="3" t="s">
        <v>35</v>
      </c>
      <c r="H116">
        <v>27</v>
      </c>
    </row>
    <row r="117" spans="1:8" x14ac:dyDescent="0.2">
      <c r="A117" s="18">
        <v>896</v>
      </c>
      <c r="B117" s="18">
        <v>4</v>
      </c>
      <c r="C117" s="18">
        <f t="shared" si="1"/>
        <v>900</v>
      </c>
      <c r="D117" s="25" t="s">
        <v>29</v>
      </c>
      <c r="E117" s="18">
        <v>62.62</v>
      </c>
      <c r="F117" s="22"/>
      <c r="G117" s="3" t="s">
        <v>35</v>
      </c>
      <c r="H117">
        <v>28</v>
      </c>
    </row>
    <row r="118" spans="1:8" x14ac:dyDescent="0.2">
      <c r="A118" s="18">
        <v>900</v>
      </c>
      <c r="B118" s="18">
        <v>4</v>
      </c>
      <c r="C118" s="18">
        <f t="shared" si="1"/>
        <v>904</v>
      </c>
      <c r="D118" s="25" t="s">
        <v>30</v>
      </c>
      <c r="E118" s="18">
        <v>44.71</v>
      </c>
      <c r="F118" s="22"/>
      <c r="G118" s="3" t="s">
        <v>35</v>
      </c>
      <c r="H118">
        <v>29</v>
      </c>
    </row>
    <row r="119" spans="1:8" x14ac:dyDescent="0.2">
      <c r="A119" s="18">
        <v>904</v>
      </c>
      <c r="B119" s="18">
        <v>4</v>
      </c>
      <c r="C119" s="18">
        <f t="shared" si="1"/>
        <v>908</v>
      </c>
      <c r="D119" s="25" t="s">
        <v>33</v>
      </c>
      <c r="E119" s="18">
        <v>30.82</v>
      </c>
      <c r="F119" s="22"/>
      <c r="G119" s="3" t="s">
        <v>35</v>
      </c>
      <c r="H119">
        <v>30</v>
      </c>
    </row>
    <row r="120" spans="1:8" x14ac:dyDescent="0.2">
      <c r="A120" s="18">
        <v>908</v>
      </c>
      <c r="B120" s="18">
        <v>4</v>
      </c>
      <c r="C120" s="18">
        <f t="shared" si="1"/>
        <v>912</v>
      </c>
      <c r="D120" s="25" t="s">
        <v>29</v>
      </c>
      <c r="E120" s="18">
        <v>67.39</v>
      </c>
      <c r="F120" s="22"/>
      <c r="G120" s="3" t="s">
        <v>35</v>
      </c>
      <c r="H120">
        <v>31</v>
      </c>
    </row>
    <row r="121" spans="1:8" x14ac:dyDescent="0.2">
      <c r="A121" s="18">
        <v>912</v>
      </c>
      <c r="B121" s="18">
        <v>4</v>
      </c>
      <c r="C121" s="18">
        <f t="shared" si="1"/>
        <v>916</v>
      </c>
      <c r="D121" s="25" t="s">
        <v>30</v>
      </c>
      <c r="E121" s="18">
        <v>3.37</v>
      </c>
      <c r="F121" s="22"/>
      <c r="G121" s="3" t="s">
        <v>35</v>
      </c>
      <c r="H121">
        <v>32</v>
      </c>
    </row>
    <row r="122" spans="1:8" x14ac:dyDescent="0.2">
      <c r="A122" s="18">
        <v>916</v>
      </c>
      <c r="B122" s="18">
        <v>4</v>
      </c>
      <c r="C122" s="18">
        <f t="shared" si="1"/>
        <v>920</v>
      </c>
      <c r="D122" s="25" t="s">
        <v>33</v>
      </c>
      <c r="E122" s="18">
        <v>27.25</v>
      </c>
      <c r="F122" s="22"/>
      <c r="G122" s="3" t="s">
        <v>35</v>
      </c>
      <c r="H122">
        <v>33</v>
      </c>
    </row>
    <row r="123" spans="1:8" x14ac:dyDescent="0.2">
      <c r="A123" s="18">
        <v>920</v>
      </c>
      <c r="B123" s="18">
        <v>4</v>
      </c>
      <c r="C123" s="18">
        <f t="shared" si="1"/>
        <v>924</v>
      </c>
      <c r="D123" s="25" t="s">
        <v>29</v>
      </c>
      <c r="E123" s="18">
        <v>65.81</v>
      </c>
      <c r="F123" s="22"/>
      <c r="G123" s="3" t="s">
        <v>35</v>
      </c>
      <c r="H123">
        <v>34</v>
      </c>
    </row>
    <row r="124" spans="1:8" x14ac:dyDescent="0.2">
      <c r="A124" s="18">
        <v>924</v>
      </c>
      <c r="B124" s="18">
        <v>4</v>
      </c>
      <c r="C124" s="18">
        <f t="shared" si="1"/>
        <v>928</v>
      </c>
      <c r="D124" s="25" t="s">
        <v>30</v>
      </c>
      <c r="E124" s="18">
        <v>5.87</v>
      </c>
      <c r="F124" s="22"/>
      <c r="G124" s="3" t="s">
        <v>35</v>
      </c>
      <c r="H124">
        <v>35</v>
      </c>
    </row>
    <row r="125" spans="1:8" x14ac:dyDescent="0.2">
      <c r="A125" s="18">
        <v>928</v>
      </c>
      <c r="B125" s="18">
        <v>4</v>
      </c>
      <c r="C125" s="18">
        <f t="shared" si="1"/>
        <v>932</v>
      </c>
      <c r="D125" s="25" t="s">
        <v>33</v>
      </c>
      <c r="E125" s="18">
        <v>28.23</v>
      </c>
      <c r="F125" s="22"/>
      <c r="G125" s="3" t="s">
        <v>35</v>
      </c>
      <c r="H125">
        <v>36</v>
      </c>
    </row>
    <row r="126" spans="1:8" x14ac:dyDescent="0.2">
      <c r="A126" s="18">
        <v>932</v>
      </c>
      <c r="B126" s="18">
        <v>4</v>
      </c>
      <c r="C126" s="18">
        <f t="shared" si="1"/>
        <v>936</v>
      </c>
      <c r="D126" s="25" t="s">
        <v>29</v>
      </c>
      <c r="E126" s="18">
        <v>59.7</v>
      </c>
      <c r="F126" s="22"/>
      <c r="G126" s="3" t="s">
        <v>35</v>
      </c>
      <c r="H126">
        <v>37</v>
      </c>
    </row>
    <row r="127" spans="1:8" x14ac:dyDescent="0.2">
      <c r="A127" s="18">
        <v>936</v>
      </c>
      <c r="B127" s="18">
        <v>4</v>
      </c>
      <c r="C127" s="18">
        <f t="shared" si="1"/>
        <v>940</v>
      </c>
      <c r="D127" s="25" t="s">
        <v>30</v>
      </c>
      <c r="E127" s="18">
        <v>5.2</v>
      </c>
      <c r="F127" s="22"/>
      <c r="G127" s="3" t="s">
        <v>35</v>
      </c>
      <c r="H127">
        <v>38</v>
      </c>
    </row>
    <row r="128" spans="1:8" x14ac:dyDescent="0.2">
      <c r="A128" s="18">
        <v>940</v>
      </c>
      <c r="B128" s="18">
        <v>4</v>
      </c>
      <c r="C128" s="18">
        <f t="shared" si="1"/>
        <v>944</v>
      </c>
      <c r="D128" s="25" t="s">
        <v>33</v>
      </c>
      <c r="E128" s="18">
        <v>39.380000000000003</v>
      </c>
      <c r="F128" s="22"/>
      <c r="G128" s="3" t="s">
        <v>35</v>
      </c>
      <c r="H128">
        <v>39</v>
      </c>
    </row>
    <row r="129" spans="1:8" x14ac:dyDescent="0.2">
      <c r="A129" s="18">
        <v>944</v>
      </c>
      <c r="B129" s="18">
        <v>4</v>
      </c>
      <c r="C129" s="18">
        <f t="shared" si="1"/>
        <v>948</v>
      </c>
      <c r="D129" s="25" t="s">
        <v>29</v>
      </c>
      <c r="E129" s="18">
        <v>59.85</v>
      </c>
      <c r="F129" s="22"/>
      <c r="G129" s="3" t="s">
        <v>35</v>
      </c>
      <c r="H129">
        <v>40</v>
      </c>
    </row>
    <row r="130" spans="1:8" x14ac:dyDescent="0.2">
      <c r="A130" s="18">
        <v>948</v>
      </c>
      <c r="B130" s="18">
        <v>4</v>
      </c>
      <c r="C130" s="18">
        <f t="shared" si="1"/>
        <v>952</v>
      </c>
      <c r="D130" s="25" t="s">
        <v>30</v>
      </c>
      <c r="E130" s="18">
        <v>9.84</v>
      </c>
      <c r="F130" s="22"/>
      <c r="G130" s="3" t="s">
        <v>35</v>
      </c>
      <c r="H130">
        <v>41</v>
      </c>
    </row>
    <row r="131" spans="1:8" x14ac:dyDescent="0.2">
      <c r="A131" s="18">
        <v>952</v>
      </c>
      <c r="B131" s="18">
        <v>4</v>
      </c>
      <c r="C131" s="18">
        <f t="shared" si="1"/>
        <v>956</v>
      </c>
      <c r="D131" s="25" t="s">
        <v>33</v>
      </c>
      <c r="E131" s="18">
        <v>32.049999999999997</v>
      </c>
      <c r="F131" s="22"/>
      <c r="G131" s="3" t="s">
        <v>35</v>
      </c>
      <c r="H131">
        <v>42</v>
      </c>
    </row>
    <row r="132" spans="1:8" x14ac:dyDescent="0.2">
      <c r="A132" s="18">
        <v>956</v>
      </c>
      <c r="B132" s="18">
        <v>4</v>
      </c>
      <c r="C132" s="18">
        <f t="shared" si="1"/>
        <v>960</v>
      </c>
      <c r="D132" s="25" t="s">
        <v>29</v>
      </c>
      <c r="E132" s="18">
        <v>61.11</v>
      </c>
      <c r="F132" s="22"/>
      <c r="G132" s="3" t="s">
        <v>35</v>
      </c>
      <c r="H132">
        <v>43</v>
      </c>
    </row>
    <row r="133" spans="1:8" x14ac:dyDescent="0.2">
      <c r="A133" s="18">
        <v>960</v>
      </c>
      <c r="B133" s="18">
        <v>4</v>
      </c>
      <c r="C133" s="18">
        <f t="shared" si="1"/>
        <v>964</v>
      </c>
      <c r="D133" s="25" t="s">
        <v>30</v>
      </c>
      <c r="E133" s="18">
        <v>48.65</v>
      </c>
      <c r="F133" s="22"/>
      <c r="G133" s="3" t="s">
        <v>35</v>
      </c>
      <c r="H133">
        <v>44</v>
      </c>
    </row>
    <row r="134" spans="1:8" x14ac:dyDescent="0.2">
      <c r="A134" s="18">
        <v>964</v>
      </c>
      <c r="B134" s="18">
        <v>4</v>
      </c>
      <c r="C134" s="18">
        <f t="shared" si="1"/>
        <v>968</v>
      </c>
      <c r="D134" s="25" t="s">
        <v>33</v>
      </c>
      <c r="E134" s="18">
        <v>29.54</v>
      </c>
      <c r="F134" s="22"/>
      <c r="G134" s="3" t="s">
        <v>35</v>
      </c>
      <c r="H134">
        <v>45</v>
      </c>
    </row>
    <row r="135" spans="1:8" x14ac:dyDescent="0.2">
      <c r="A135" s="18">
        <v>968</v>
      </c>
      <c r="B135" s="18">
        <v>4</v>
      </c>
      <c r="C135" s="18">
        <f t="shared" si="1"/>
        <v>972</v>
      </c>
      <c r="D135" s="25" t="s">
        <v>29</v>
      </c>
      <c r="E135" s="18">
        <v>67.59</v>
      </c>
      <c r="F135" s="22"/>
      <c r="G135" s="3" t="s">
        <v>35</v>
      </c>
      <c r="H135">
        <v>46</v>
      </c>
    </row>
    <row r="136" spans="1:8" x14ac:dyDescent="0.2">
      <c r="A136" s="18">
        <v>972</v>
      </c>
      <c r="B136" s="18">
        <v>4</v>
      </c>
      <c r="C136" s="18">
        <f t="shared" si="1"/>
        <v>976</v>
      </c>
      <c r="D136" s="25" t="s">
        <v>30</v>
      </c>
      <c r="E136" s="18">
        <v>10.119999999999999</v>
      </c>
      <c r="F136" s="22"/>
      <c r="G136" s="3" t="s">
        <v>35</v>
      </c>
      <c r="H136">
        <v>47</v>
      </c>
    </row>
    <row r="137" spans="1:8" x14ac:dyDescent="0.2">
      <c r="A137" s="18">
        <v>976</v>
      </c>
      <c r="B137" s="18">
        <v>4</v>
      </c>
      <c r="C137" s="18">
        <f t="shared" ref="C137:C140" si="2">A137+B137</f>
        <v>980</v>
      </c>
      <c r="D137" s="25" t="s">
        <v>33</v>
      </c>
      <c r="E137" s="18">
        <v>35.21</v>
      </c>
      <c r="F137" s="22"/>
      <c r="G137" s="3" t="s">
        <v>35</v>
      </c>
      <c r="H137">
        <v>48</v>
      </c>
    </row>
    <row r="138" spans="1:8" x14ac:dyDescent="0.2">
      <c r="A138" s="18">
        <v>980</v>
      </c>
      <c r="B138" s="18">
        <v>4</v>
      </c>
      <c r="C138" s="18">
        <f t="shared" si="2"/>
        <v>984</v>
      </c>
      <c r="D138" s="25" t="s">
        <v>29</v>
      </c>
      <c r="E138" s="18">
        <v>9999</v>
      </c>
      <c r="F138" s="22"/>
      <c r="G138" s="3" t="s">
        <v>35</v>
      </c>
      <c r="H138">
        <v>49</v>
      </c>
    </row>
    <row r="139" spans="1:8" x14ac:dyDescent="0.2">
      <c r="A139" s="18">
        <v>984</v>
      </c>
      <c r="B139" s="18">
        <v>4</v>
      </c>
      <c r="C139" s="18">
        <f t="shared" si="2"/>
        <v>988</v>
      </c>
      <c r="D139" s="25" t="s">
        <v>30</v>
      </c>
      <c r="E139" s="18">
        <v>17.350000000000001</v>
      </c>
      <c r="F139" s="22"/>
      <c r="G139" s="3" t="s">
        <v>35</v>
      </c>
      <c r="H139">
        <v>50</v>
      </c>
    </row>
    <row r="140" spans="1:8" x14ac:dyDescent="0.2">
      <c r="A140" s="18">
        <v>988</v>
      </c>
      <c r="B140" s="18">
        <v>4</v>
      </c>
      <c r="C140" s="18">
        <f t="shared" si="2"/>
        <v>992</v>
      </c>
      <c r="D140" s="25" t="s">
        <v>33</v>
      </c>
      <c r="E140" s="18">
        <v>30.18</v>
      </c>
      <c r="F140" s="22"/>
      <c r="G140" s="3" t="s">
        <v>35</v>
      </c>
      <c r="H140">
        <v>51</v>
      </c>
    </row>
    <row r="141" spans="1:8" x14ac:dyDescent="0.2">
      <c r="A141" s="18">
        <v>992</v>
      </c>
      <c r="B141" s="18"/>
      <c r="C141" s="18"/>
      <c r="D141" s="18"/>
      <c r="E141" s="18">
        <v>999</v>
      </c>
      <c r="F141" s="18"/>
    </row>
    <row r="142" spans="1:8" x14ac:dyDescent="0.2">
      <c r="A142" s="18"/>
      <c r="B142" s="18"/>
      <c r="C142" s="18"/>
      <c r="D142" s="18"/>
      <c r="F142" s="18"/>
    </row>
    <row r="143" spans="1:8" x14ac:dyDescent="0.2">
      <c r="A143" s="18"/>
      <c r="B143" s="18"/>
      <c r="C143" s="18"/>
      <c r="D143" s="18"/>
      <c r="F143" s="18"/>
    </row>
    <row r="144" spans="1:8" x14ac:dyDescent="0.2">
      <c r="A144" s="18"/>
      <c r="B144" s="18"/>
      <c r="C144" s="18"/>
      <c r="D144" s="18"/>
      <c r="F144" s="18"/>
    </row>
    <row r="145" spans="1:6" x14ac:dyDescent="0.2">
      <c r="A145" s="18"/>
      <c r="B145" s="18"/>
      <c r="C145" s="18"/>
      <c r="D145" s="18"/>
      <c r="F145" s="18"/>
    </row>
    <row r="146" spans="1:6" x14ac:dyDescent="0.2">
      <c r="A146" s="18"/>
      <c r="B146" s="18"/>
      <c r="C146" s="18"/>
      <c r="D146" s="18"/>
      <c r="F146" s="18"/>
    </row>
    <row r="147" spans="1:6" x14ac:dyDescent="0.2">
      <c r="A147" s="18"/>
      <c r="B147" s="18"/>
      <c r="C147" s="18"/>
      <c r="D147" s="18"/>
      <c r="F147" s="18"/>
    </row>
    <row r="148" spans="1:6" x14ac:dyDescent="0.2">
      <c r="A148" s="18"/>
      <c r="B148" s="18"/>
      <c r="C148" s="18"/>
      <c r="D148" s="18"/>
      <c r="F148" s="18"/>
    </row>
    <row r="149" spans="1:6" x14ac:dyDescent="0.2">
      <c r="A149" s="18"/>
      <c r="B149" s="18"/>
      <c r="C149" s="18"/>
      <c r="D149" s="18"/>
      <c r="F149" s="18"/>
    </row>
    <row r="150" spans="1:6" x14ac:dyDescent="0.2">
      <c r="A150" s="18"/>
      <c r="B150" s="18"/>
      <c r="C150" s="18"/>
      <c r="D150" s="18"/>
      <c r="F150" s="18"/>
    </row>
    <row r="151" spans="1:6" x14ac:dyDescent="0.2">
      <c r="A151" s="18"/>
      <c r="B151" s="18"/>
      <c r="C151" s="18"/>
      <c r="D151" s="18"/>
      <c r="F151" s="18"/>
    </row>
    <row r="152" spans="1:6" x14ac:dyDescent="0.2">
      <c r="A152" s="18"/>
      <c r="B152" s="18"/>
      <c r="C152" s="18"/>
      <c r="D152" s="18"/>
      <c r="F152" s="18"/>
    </row>
    <row r="153" spans="1:6" x14ac:dyDescent="0.2">
      <c r="A153" s="18"/>
      <c r="B153" s="18"/>
      <c r="C153" s="18"/>
      <c r="D153" s="18"/>
      <c r="F153" s="18"/>
    </row>
    <row r="154" spans="1:6" x14ac:dyDescent="0.2">
      <c r="A154" s="18"/>
      <c r="B154" s="18"/>
      <c r="C154" s="18"/>
      <c r="D154" s="18"/>
      <c r="F154" s="18"/>
    </row>
    <row r="155" spans="1:6" x14ac:dyDescent="0.2">
      <c r="A155" s="18"/>
      <c r="B155" s="18"/>
      <c r="C155" s="18"/>
      <c r="D155" s="18"/>
      <c r="F155" s="18"/>
    </row>
    <row r="156" spans="1:6" x14ac:dyDescent="0.2">
      <c r="A156" s="18"/>
      <c r="B156" s="18"/>
      <c r="C156" s="18"/>
      <c r="D156" s="18"/>
      <c r="F156" s="18"/>
    </row>
    <row r="157" spans="1:6" x14ac:dyDescent="0.2">
      <c r="A157" s="18"/>
      <c r="B157" s="18"/>
      <c r="C157" s="18"/>
      <c r="D157" s="18"/>
      <c r="F157" s="18"/>
    </row>
    <row r="158" spans="1:6" x14ac:dyDescent="0.2">
      <c r="A158" s="18"/>
      <c r="B158" s="18"/>
      <c r="C158" s="18"/>
      <c r="D158" s="18"/>
      <c r="F158" s="18"/>
    </row>
    <row r="159" spans="1:6" x14ac:dyDescent="0.2">
      <c r="A159" s="18"/>
      <c r="B159" s="18"/>
      <c r="C159" s="18"/>
      <c r="D159" s="18"/>
      <c r="F159" s="18"/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0</xdr:col>
                <xdr:colOff>76200</xdr:colOff>
                <xdr:row>1</xdr:row>
                <xdr:rowOff>152400</xdr:rowOff>
              </from>
              <to>
                <xdr:col>2</xdr:col>
                <xdr:colOff>114300</xdr:colOff>
                <xdr:row>4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1"/>
  <sheetViews>
    <sheetView showGridLines="0" tabSelected="1" zoomScale="80" zoomScaleNormal="80" workbookViewId="0">
      <selection activeCell="J9" sqref="J9"/>
    </sheetView>
  </sheetViews>
  <sheetFormatPr defaultRowHeight="12.75" x14ac:dyDescent="0.2"/>
  <cols>
    <col min="1" max="1" width="14.7109375" style="6" customWidth="1"/>
    <col min="2" max="2" width="8" style="6" customWidth="1"/>
    <col min="3" max="3" width="14.7109375" style="6" customWidth="1"/>
    <col min="4" max="4" width="9.140625" style="6"/>
    <col min="5" max="5" width="8.5703125" style="6" customWidth="1"/>
    <col min="6" max="6" width="14.42578125" style="6" customWidth="1"/>
    <col min="7" max="7" width="8.28515625" style="6" customWidth="1"/>
    <col min="8" max="8" width="7.85546875" style="6" customWidth="1"/>
    <col min="9" max="9" width="7.42578125" style="6" customWidth="1"/>
    <col min="10" max="10" width="8.7109375" style="6" customWidth="1"/>
    <col min="11" max="11" width="7.28515625" style="6" customWidth="1"/>
    <col min="12" max="12" width="7.140625" style="6" customWidth="1"/>
    <col min="13" max="13" width="6.7109375" style="6" customWidth="1"/>
    <col min="14" max="14" width="6.85546875" style="6" customWidth="1"/>
    <col min="15" max="15" width="6.5703125" style="6" customWidth="1"/>
    <col min="16" max="16" width="5.85546875" style="6" customWidth="1"/>
    <col min="17" max="17" width="6.28515625" style="6" customWidth="1"/>
    <col min="18" max="18" width="6.42578125" style="6" customWidth="1"/>
    <col min="19" max="256" width="9.140625" style="6"/>
    <col min="257" max="257" width="16.42578125" style="6" customWidth="1"/>
    <col min="258" max="260" width="9.140625" style="6"/>
    <col min="261" max="261" width="11.140625" style="6" customWidth="1"/>
    <col min="262" max="265" width="9.140625" style="6"/>
    <col min="266" max="266" width="12.140625" style="6" customWidth="1"/>
    <col min="267" max="512" width="9.140625" style="6"/>
    <col min="513" max="513" width="16.42578125" style="6" customWidth="1"/>
    <col min="514" max="516" width="9.140625" style="6"/>
    <col min="517" max="517" width="11.140625" style="6" customWidth="1"/>
    <col min="518" max="521" width="9.140625" style="6"/>
    <col min="522" max="522" width="12.140625" style="6" customWidth="1"/>
    <col min="523" max="768" width="9.140625" style="6"/>
    <col min="769" max="769" width="16.42578125" style="6" customWidth="1"/>
    <col min="770" max="772" width="9.140625" style="6"/>
    <col min="773" max="773" width="11.140625" style="6" customWidth="1"/>
    <col min="774" max="777" width="9.140625" style="6"/>
    <col min="778" max="778" width="12.140625" style="6" customWidth="1"/>
    <col min="779" max="1024" width="9.140625" style="6"/>
    <col min="1025" max="1025" width="16.42578125" style="6" customWidth="1"/>
    <col min="1026" max="1028" width="9.140625" style="6"/>
    <col min="1029" max="1029" width="11.140625" style="6" customWidth="1"/>
    <col min="1030" max="1033" width="9.140625" style="6"/>
    <col min="1034" max="1034" width="12.140625" style="6" customWidth="1"/>
    <col min="1035" max="1280" width="9.140625" style="6"/>
    <col min="1281" max="1281" width="16.42578125" style="6" customWidth="1"/>
    <col min="1282" max="1284" width="9.140625" style="6"/>
    <col min="1285" max="1285" width="11.140625" style="6" customWidth="1"/>
    <col min="1286" max="1289" width="9.140625" style="6"/>
    <col min="1290" max="1290" width="12.140625" style="6" customWidth="1"/>
    <col min="1291" max="1536" width="9.140625" style="6"/>
    <col min="1537" max="1537" width="16.42578125" style="6" customWidth="1"/>
    <col min="1538" max="1540" width="9.140625" style="6"/>
    <col min="1541" max="1541" width="11.140625" style="6" customWidth="1"/>
    <col min="1542" max="1545" width="9.140625" style="6"/>
    <col min="1546" max="1546" width="12.140625" style="6" customWidth="1"/>
    <col min="1547" max="1792" width="9.140625" style="6"/>
    <col min="1793" max="1793" width="16.42578125" style="6" customWidth="1"/>
    <col min="1794" max="1796" width="9.140625" style="6"/>
    <col min="1797" max="1797" width="11.140625" style="6" customWidth="1"/>
    <col min="1798" max="1801" width="9.140625" style="6"/>
    <col min="1802" max="1802" width="12.140625" style="6" customWidth="1"/>
    <col min="1803" max="2048" width="9.140625" style="6"/>
    <col min="2049" max="2049" width="16.42578125" style="6" customWidth="1"/>
    <col min="2050" max="2052" width="9.140625" style="6"/>
    <col min="2053" max="2053" width="11.140625" style="6" customWidth="1"/>
    <col min="2054" max="2057" width="9.140625" style="6"/>
    <col min="2058" max="2058" width="12.140625" style="6" customWidth="1"/>
    <col min="2059" max="2304" width="9.140625" style="6"/>
    <col min="2305" max="2305" width="16.42578125" style="6" customWidth="1"/>
    <col min="2306" max="2308" width="9.140625" style="6"/>
    <col min="2309" max="2309" width="11.140625" style="6" customWidth="1"/>
    <col min="2310" max="2313" width="9.140625" style="6"/>
    <col min="2314" max="2314" width="12.140625" style="6" customWidth="1"/>
    <col min="2315" max="2560" width="9.140625" style="6"/>
    <col min="2561" max="2561" width="16.42578125" style="6" customWidth="1"/>
    <col min="2562" max="2564" width="9.140625" style="6"/>
    <col min="2565" max="2565" width="11.140625" style="6" customWidth="1"/>
    <col min="2566" max="2569" width="9.140625" style="6"/>
    <col min="2570" max="2570" width="12.140625" style="6" customWidth="1"/>
    <col min="2571" max="2816" width="9.140625" style="6"/>
    <col min="2817" max="2817" width="16.42578125" style="6" customWidth="1"/>
    <col min="2818" max="2820" width="9.140625" style="6"/>
    <col min="2821" max="2821" width="11.140625" style="6" customWidth="1"/>
    <col min="2822" max="2825" width="9.140625" style="6"/>
    <col min="2826" max="2826" width="12.140625" style="6" customWidth="1"/>
    <col min="2827" max="3072" width="9.140625" style="6"/>
    <col min="3073" max="3073" width="16.42578125" style="6" customWidth="1"/>
    <col min="3074" max="3076" width="9.140625" style="6"/>
    <col min="3077" max="3077" width="11.140625" style="6" customWidth="1"/>
    <col min="3078" max="3081" width="9.140625" style="6"/>
    <col min="3082" max="3082" width="12.140625" style="6" customWidth="1"/>
    <col min="3083" max="3328" width="9.140625" style="6"/>
    <col min="3329" max="3329" width="16.42578125" style="6" customWidth="1"/>
    <col min="3330" max="3332" width="9.140625" style="6"/>
    <col min="3333" max="3333" width="11.140625" style="6" customWidth="1"/>
    <col min="3334" max="3337" width="9.140625" style="6"/>
    <col min="3338" max="3338" width="12.140625" style="6" customWidth="1"/>
    <col min="3339" max="3584" width="9.140625" style="6"/>
    <col min="3585" max="3585" width="16.42578125" style="6" customWidth="1"/>
    <col min="3586" max="3588" width="9.140625" style="6"/>
    <col min="3589" max="3589" width="11.140625" style="6" customWidth="1"/>
    <col min="3590" max="3593" width="9.140625" style="6"/>
    <col min="3594" max="3594" width="12.140625" style="6" customWidth="1"/>
    <col min="3595" max="3840" width="9.140625" style="6"/>
    <col min="3841" max="3841" width="16.42578125" style="6" customWidth="1"/>
    <col min="3842" max="3844" width="9.140625" style="6"/>
    <col min="3845" max="3845" width="11.140625" style="6" customWidth="1"/>
    <col min="3846" max="3849" width="9.140625" style="6"/>
    <col min="3850" max="3850" width="12.140625" style="6" customWidth="1"/>
    <col min="3851" max="4096" width="9.140625" style="6"/>
    <col min="4097" max="4097" width="16.42578125" style="6" customWidth="1"/>
    <col min="4098" max="4100" width="9.140625" style="6"/>
    <col min="4101" max="4101" width="11.140625" style="6" customWidth="1"/>
    <col min="4102" max="4105" width="9.140625" style="6"/>
    <col min="4106" max="4106" width="12.140625" style="6" customWidth="1"/>
    <col min="4107" max="4352" width="9.140625" style="6"/>
    <col min="4353" max="4353" width="16.42578125" style="6" customWidth="1"/>
    <col min="4354" max="4356" width="9.140625" style="6"/>
    <col min="4357" max="4357" width="11.140625" style="6" customWidth="1"/>
    <col min="4358" max="4361" width="9.140625" style="6"/>
    <col min="4362" max="4362" width="12.140625" style="6" customWidth="1"/>
    <col min="4363" max="4608" width="9.140625" style="6"/>
    <col min="4609" max="4609" width="16.42578125" style="6" customWidth="1"/>
    <col min="4610" max="4612" width="9.140625" style="6"/>
    <col min="4613" max="4613" width="11.140625" style="6" customWidth="1"/>
    <col min="4614" max="4617" width="9.140625" style="6"/>
    <col min="4618" max="4618" width="12.140625" style="6" customWidth="1"/>
    <col min="4619" max="4864" width="9.140625" style="6"/>
    <col min="4865" max="4865" width="16.42578125" style="6" customWidth="1"/>
    <col min="4866" max="4868" width="9.140625" style="6"/>
    <col min="4869" max="4869" width="11.140625" style="6" customWidth="1"/>
    <col min="4870" max="4873" width="9.140625" style="6"/>
    <col min="4874" max="4874" width="12.140625" style="6" customWidth="1"/>
    <col min="4875" max="5120" width="9.140625" style="6"/>
    <col min="5121" max="5121" width="16.42578125" style="6" customWidth="1"/>
    <col min="5122" max="5124" width="9.140625" style="6"/>
    <col min="5125" max="5125" width="11.140625" style="6" customWidth="1"/>
    <col min="5126" max="5129" width="9.140625" style="6"/>
    <col min="5130" max="5130" width="12.140625" style="6" customWidth="1"/>
    <col min="5131" max="5376" width="9.140625" style="6"/>
    <col min="5377" max="5377" width="16.42578125" style="6" customWidth="1"/>
    <col min="5378" max="5380" width="9.140625" style="6"/>
    <col min="5381" max="5381" width="11.140625" style="6" customWidth="1"/>
    <col min="5382" max="5385" width="9.140625" style="6"/>
    <col min="5386" max="5386" width="12.140625" style="6" customWidth="1"/>
    <col min="5387" max="5632" width="9.140625" style="6"/>
    <col min="5633" max="5633" width="16.42578125" style="6" customWidth="1"/>
    <col min="5634" max="5636" width="9.140625" style="6"/>
    <col min="5637" max="5637" width="11.140625" style="6" customWidth="1"/>
    <col min="5638" max="5641" width="9.140625" style="6"/>
    <col min="5642" max="5642" width="12.140625" style="6" customWidth="1"/>
    <col min="5643" max="5888" width="9.140625" style="6"/>
    <col min="5889" max="5889" width="16.42578125" style="6" customWidth="1"/>
    <col min="5890" max="5892" width="9.140625" style="6"/>
    <col min="5893" max="5893" width="11.140625" style="6" customWidth="1"/>
    <col min="5894" max="5897" width="9.140625" style="6"/>
    <col min="5898" max="5898" width="12.140625" style="6" customWidth="1"/>
    <col min="5899" max="6144" width="9.140625" style="6"/>
    <col min="6145" max="6145" width="16.42578125" style="6" customWidth="1"/>
    <col min="6146" max="6148" width="9.140625" style="6"/>
    <col min="6149" max="6149" width="11.140625" style="6" customWidth="1"/>
    <col min="6150" max="6153" width="9.140625" style="6"/>
    <col min="6154" max="6154" width="12.140625" style="6" customWidth="1"/>
    <col min="6155" max="6400" width="9.140625" style="6"/>
    <col min="6401" max="6401" width="16.42578125" style="6" customWidth="1"/>
    <col min="6402" max="6404" width="9.140625" style="6"/>
    <col min="6405" max="6405" width="11.140625" style="6" customWidth="1"/>
    <col min="6406" max="6409" width="9.140625" style="6"/>
    <col min="6410" max="6410" width="12.140625" style="6" customWidth="1"/>
    <col min="6411" max="6656" width="9.140625" style="6"/>
    <col min="6657" max="6657" width="16.42578125" style="6" customWidth="1"/>
    <col min="6658" max="6660" width="9.140625" style="6"/>
    <col min="6661" max="6661" width="11.140625" style="6" customWidth="1"/>
    <col min="6662" max="6665" width="9.140625" style="6"/>
    <col min="6666" max="6666" width="12.140625" style="6" customWidth="1"/>
    <col min="6667" max="6912" width="9.140625" style="6"/>
    <col min="6913" max="6913" width="16.42578125" style="6" customWidth="1"/>
    <col min="6914" max="6916" width="9.140625" style="6"/>
    <col min="6917" max="6917" width="11.140625" style="6" customWidth="1"/>
    <col min="6918" max="6921" width="9.140625" style="6"/>
    <col min="6922" max="6922" width="12.140625" style="6" customWidth="1"/>
    <col min="6923" max="7168" width="9.140625" style="6"/>
    <col min="7169" max="7169" width="16.42578125" style="6" customWidth="1"/>
    <col min="7170" max="7172" width="9.140625" style="6"/>
    <col min="7173" max="7173" width="11.140625" style="6" customWidth="1"/>
    <col min="7174" max="7177" width="9.140625" style="6"/>
    <col min="7178" max="7178" width="12.140625" style="6" customWidth="1"/>
    <col min="7179" max="7424" width="9.140625" style="6"/>
    <col min="7425" max="7425" width="16.42578125" style="6" customWidth="1"/>
    <col min="7426" max="7428" width="9.140625" style="6"/>
    <col min="7429" max="7429" width="11.140625" style="6" customWidth="1"/>
    <col min="7430" max="7433" width="9.140625" style="6"/>
    <col min="7434" max="7434" width="12.140625" style="6" customWidth="1"/>
    <col min="7435" max="7680" width="9.140625" style="6"/>
    <col min="7681" max="7681" width="16.42578125" style="6" customWidth="1"/>
    <col min="7682" max="7684" width="9.140625" style="6"/>
    <col min="7685" max="7685" width="11.140625" style="6" customWidth="1"/>
    <col min="7686" max="7689" width="9.140625" style="6"/>
    <col min="7690" max="7690" width="12.140625" style="6" customWidth="1"/>
    <col min="7691" max="7936" width="9.140625" style="6"/>
    <col min="7937" max="7937" width="16.42578125" style="6" customWidth="1"/>
    <col min="7938" max="7940" width="9.140625" style="6"/>
    <col min="7941" max="7941" width="11.140625" style="6" customWidth="1"/>
    <col min="7942" max="7945" width="9.140625" style="6"/>
    <col min="7946" max="7946" width="12.140625" style="6" customWidth="1"/>
    <col min="7947" max="8192" width="9.140625" style="6"/>
    <col min="8193" max="8193" width="16.42578125" style="6" customWidth="1"/>
    <col min="8194" max="8196" width="9.140625" style="6"/>
    <col min="8197" max="8197" width="11.140625" style="6" customWidth="1"/>
    <col min="8198" max="8201" width="9.140625" style="6"/>
    <col min="8202" max="8202" width="12.140625" style="6" customWidth="1"/>
    <col min="8203" max="8448" width="9.140625" style="6"/>
    <col min="8449" max="8449" width="16.42578125" style="6" customWidth="1"/>
    <col min="8450" max="8452" width="9.140625" style="6"/>
    <col min="8453" max="8453" width="11.140625" style="6" customWidth="1"/>
    <col min="8454" max="8457" width="9.140625" style="6"/>
    <col min="8458" max="8458" width="12.140625" style="6" customWidth="1"/>
    <col min="8459" max="8704" width="9.140625" style="6"/>
    <col min="8705" max="8705" width="16.42578125" style="6" customWidth="1"/>
    <col min="8706" max="8708" width="9.140625" style="6"/>
    <col min="8709" max="8709" width="11.140625" style="6" customWidth="1"/>
    <col min="8710" max="8713" width="9.140625" style="6"/>
    <col min="8714" max="8714" width="12.140625" style="6" customWidth="1"/>
    <col min="8715" max="8960" width="9.140625" style="6"/>
    <col min="8961" max="8961" width="16.42578125" style="6" customWidth="1"/>
    <col min="8962" max="8964" width="9.140625" style="6"/>
    <col min="8965" max="8965" width="11.140625" style="6" customWidth="1"/>
    <col min="8966" max="8969" width="9.140625" style="6"/>
    <col min="8970" max="8970" width="12.140625" style="6" customWidth="1"/>
    <col min="8971" max="9216" width="9.140625" style="6"/>
    <col min="9217" max="9217" width="16.42578125" style="6" customWidth="1"/>
    <col min="9218" max="9220" width="9.140625" style="6"/>
    <col min="9221" max="9221" width="11.140625" style="6" customWidth="1"/>
    <col min="9222" max="9225" width="9.140625" style="6"/>
    <col min="9226" max="9226" width="12.140625" style="6" customWidth="1"/>
    <col min="9227" max="9472" width="9.140625" style="6"/>
    <col min="9473" max="9473" width="16.42578125" style="6" customWidth="1"/>
    <col min="9474" max="9476" width="9.140625" style="6"/>
    <col min="9477" max="9477" width="11.140625" style="6" customWidth="1"/>
    <col min="9478" max="9481" width="9.140625" style="6"/>
    <col min="9482" max="9482" width="12.140625" style="6" customWidth="1"/>
    <col min="9483" max="9728" width="9.140625" style="6"/>
    <col min="9729" max="9729" width="16.42578125" style="6" customWidth="1"/>
    <col min="9730" max="9732" width="9.140625" style="6"/>
    <col min="9733" max="9733" width="11.140625" style="6" customWidth="1"/>
    <col min="9734" max="9737" width="9.140625" style="6"/>
    <col min="9738" max="9738" width="12.140625" style="6" customWidth="1"/>
    <col min="9739" max="9984" width="9.140625" style="6"/>
    <col min="9985" max="9985" width="16.42578125" style="6" customWidth="1"/>
    <col min="9986" max="9988" width="9.140625" style="6"/>
    <col min="9989" max="9989" width="11.140625" style="6" customWidth="1"/>
    <col min="9990" max="9993" width="9.140625" style="6"/>
    <col min="9994" max="9994" width="12.140625" style="6" customWidth="1"/>
    <col min="9995" max="10240" width="9.140625" style="6"/>
    <col min="10241" max="10241" width="16.42578125" style="6" customWidth="1"/>
    <col min="10242" max="10244" width="9.140625" style="6"/>
    <col min="10245" max="10245" width="11.140625" style="6" customWidth="1"/>
    <col min="10246" max="10249" width="9.140625" style="6"/>
    <col min="10250" max="10250" width="12.140625" style="6" customWidth="1"/>
    <col min="10251" max="10496" width="9.140625" style="6"/>
    <col min="10497" max="10497" width="16.42578125" style="6" customWidth="1"/>
    <col min="10498" max="10500" width="9.140625" style="6"/>
    <col min="10501" max="10501" width="11.140625" style="6" customWidth="1"/>
    <col min="10502" max="10505" width="9.140625" style="6"/>
    <col min="10506" max="10506" width="12.140625" style="6" customWidth="1"/>
    <col min="10507" max="10752" width="9.140625" style="6"/>
    <col min="10753" max="10753" width="16.42578125" style="6" customWidth="1"/>
    <col min="10754" max="10756" width="9.140625" style="6"/>
    <col min="10757" max="10757" width="11.140625" style="6" customWidth="1"/>
    <col min="10758" max="10761" width="9.140625" style="6"/>
    <col min="10762" max="10762" width="12.140625" style="6" customWidth="1"/>
    <col min="10763" max="11008" width="9.140625" style="6"/>
    <col min="11009" max="11009" width="16.42578125" style="6" customWidth="1"/>
    <col min="11010" max="11012" width="9.140625" style="6"/>
    <col min="11013" max="11013" width="11.140625" style="6" customWidth="1"/>
    <col min="11014" max="11017" width="9.140625" style="6"/>
    <col min="11018" max="11018" width="12.140625" style="6" customWidth="1"/>
    <col min="11019" max="11264" width="9.140625" style="6"/>
    <col min="11265" max="11265" width="16.42578125" style="6" customWidth="1"/>
    <col min="11266" max="11268" width="9.140625" style="6"/>
    <col min="11269" max="11269" width="11.140625" style="6" customWidth="1"/>
    <col min="11270" max="11273" width="9.140625" style="6"/>
    <col min="11274" max="11274" width="12.140625" style="6" customWidth="1"/>
    <col min="11275" max="11520" width="9.140625" style="6"/>
    <col min="11521" max="11521" width="16.42578125" style="6" customWidth="1"/>
    <col min="11522" max="11524" width="9.140625" style="6"/>
    <col min="11525" max="11525" width="11.140625" style="6" customWidth="1"/>
    <col min="11526" max="11529" width="9.140625" style="6"/>
    <col min="11530" max="11530" width="12.140625" style="6" customWidth="1"/>
    <col min="11531" max="11776" width="9.140625" style="6"/>
    <col min="11777" max="11777" width="16.42578125" style="6" customWidth="1"/>
    <col min="11778" max="11780" width="9.140625" style="6"/>
    <col min="11781" max="11781" width="11.140625" style="6" customWidth="1"/>
    <col min="11782" max="11785" width="9.140625" style="6"/>
    <col min="11786" max="11786" width="12.140625" style="6" customWidth="1"/>
    <col min="11787" max="12032" width="9.140625" style="6"/>
    <col min="12033" max="12033" width="16.42578125" style="6" customWidth="1"/>
    <col min="12034" max="12036" width="9.140625" style="6"/>
    <col min="12037" max="12037" width="11.140625" style="6" customWidth="1"/>
    <col min="12038" max="12041" width="9.140625" style="6"/>
    <col min="12042" max="12042" width="12.140625" style="6" customWidth="1"/>
    <col min="12043" max="12288" width="9.140625" style="6"/>
    <col min="12289" max="12289" width="16.42578125" style="6" customWidth="1"/>
    <col min="12290" max="12292" width="9.140625" style="6"/>
    <col min="12293" max="12293" width="11.140625" style="6" customWidth="1"/>
    <col min="12294" max="12297" width="9.140625" style="6"/>
    <col min="12298" max="12298" width="12.140625" style="6" customWidth="1"/>
    <col min="12299" max="12544" width="9.140625" style="6"/>
    <col min="12545" max="12545" width="16.42578125" style="6" customWidth="1"/>
    <col min="12546" max="12548" width="9.140625" style="6"/>
    <col min="12549" max="12549" width="11.140625" style="6" customWidth="1"/>
    <col min="12550" max="12553" width="9.140625" style="6"/>
    <col min="12554" max="12554" width="12.140625" style="6" customWidth="1"/>
    <col min="12555" max="12800" width="9.140625" style="6"/>
    <col min="12801" max="12801" width="16.42578125" style="6" customWidth="1"/>
    <col min="12802" max="12804" width="9.140625" style="6"/>
    <col min="12805" max="12805" width="11.140625" style="6" customWidth="1"/>
    <col min="12806" max="12809" width="9.140625" style="6"/>
    <col min="12810" max="12810" width="12.140625" style="6" customWidth="1"/>
    <col min="12811" max="13056" width="9.140625" style="6"/>
    <col min="13057" max="13057" width="16.42578125" style="6" customWidth="1"/>
    <col min="13058" max="13060" width="9.140625" style="6"/>
    <col min="13061" max="13061" width="11.140625" style="6" customWidth="1"/>
    <col min="13062" max="13065" width="9.140625" style="6"/>
    <col min="13066" max="13066" width="12.140625" style="6" customWidth="1"/>
    <col min="13067" max="13312" width="9.140625" style="6"/>
    <col min="13313" max="13313" width="16.42578125" style="6" customWidth="1"/>
    <col min="13314" max="13316" width="9.140625" style="6"/>
    <col min="13317" max="13317" width="11.140625" style="6" customWidth="1"/>
    <col min="13318" max="13321" width="9.140625" style="6"/>
    <col min="13322" max="13322" width="12.140625" style="6" customWidth="1"/>
    <col min="13323" max="13568" width="9.140625" style="6"/>
    <col min="13569" max="13569" width="16.42578125" style="6" customWidth="1"/>
    <col min="13570" max="13572" width="9.140625" style="6"/>
    <col min="13573" max="13573" width="11.140625" style="6" customWidth="1"/>
    <col min="13574" max="13577" width="9.140625" style="6"/>
    <col min="13578" max="13578" width="12.140625" style="6" customWidth="1"/>
    <col min="13579" max="13824" width="9.140625" style="6"/>
    <col min="13825" max="13825" width="16.42578125" style="6" customWidth="1"/>
    <col min="13826" max="13828" width="9.140625" style="6"/>
    <col min="13829" max="13829" width="11.140625" style="6" customWidth="1"/>
    <col min="13830" max="13833" width="9.140625" style="6"/>
    <col min="13834" max="13834" width="12.140625" style="6" customWidth="1"/>
    <col min="13835" max="14080" width="9.140625" style="6"/>
    <col min="14081" max="14081" width="16.42578125" style="6" customWidth="1"/>
    <col min="14082" max="14084" width="9.140625" style="6"/>
    <col min="14085" max="14085" width="11.140625" style="6" customWidth="1"/>
    <col min="14086" max="14089" width="9.140625" style="6"/>
    <col min="14090" max="14090" width="12.140625" style="6" customWidth="1"/>
    <col min="14091" max="14336" width="9.140625" style="6"/>
    <col min="14337" max="14337" width="16.42578125" style="6" customWidth="1"/>
    <col min="14338" max="14340" width="9.140625" style="6"/>
    <col min="14341" max="14341" width="11.140625" style="6" customWidth="1"/>
    <col min="14342" max="14345" width="9.140625" style="6"/>
    <col min="14346" max="14346" width="12.140625" style="6" customWidth="1"/>
    <col min="14347" max="14592" width="9.140625" style="6"/>
    <col min="14593" max="14593" width="16.42578125" style="6" customWidth="1"/>
    <col min="14594" max="14596" width="9.140625" style="6"/>
    <col min="14597" max="14597" width="11.140625" style="6" customWidth="1"/>
    <col min="14598" max="14601" width="9.140625" style="6"/>
    <col min="14602" max="14602" width="12.140625" style="6" customWidth="1"/>
    <col min="14603" max="14848" width="9.140625" style="6"/>
    <col min="14849" max="14849" width="16.42578125" style="6" customWidth="1"/>
    <col min="14850" max="14852" width="9.140625" style="6"/>
    <col min="14853" max="14853" width="11.140625" style="6" customWidth="1"/>
    <col min="14854" max="14857" width="9.140625" style="6"/>
    <col min="14858" max="14858" width="12.140625" style="6" customWidth="1"/>
    <col min="14859" max="15104" width="9.140625" style="6"/>
    <col min="15105" max="15105" width="16.42578125" style="6" customWidth="1"/>
    <col min="15106" max="15108" width="9.140625" style="6"/>
    <col min="15109" max="15109" width="11.140625" style="6" customWidth="1"/>
    <col min="15110" max="15113" width="9.140625" style="6"/>
    <col min="15114" max="15114" width="12.140625" style="6" customWidth="1"/>
    <col min="15115" max="15360" width="9.140625" style="6"/>
    <col min="15361" max="15361" width="16.42578125" style="6" customWidth="1"/>
    <col min="15362" max="15364" width="9.140625" style="6"/>
    <col min="15365" max="15365" width="11.140625" style="6" customWidth="1"/>
    <col min="15366" max="15369" width="9.140625" style="6"/>
    <col min="15370" max="15370" width="12.140625" style="6" customWidth="1"/>
    <col min="15371" max="15616" width="9.140625" style="6"/>
    <col min="15617" max="15617" width="16.42578125" style="6" customWidth="1"/>
    <col min="15618" max="15620" width="9.140625" style="6"/>
    <col min="15621" max="15621" width="11.140625" style="6" customWidth="1"/>
    <col min="15622" max="15625" width="9.140625" style="6"/>
    <col min="15626" max="15626" width="12.140625" style="6" customWidth="1"/>
    <col min="15627" max="15872" width="9.140625" style="6"/>
    <col min="15873" max="15873" width="16.42578125" style="6" customWidth="1"/>
    <col min="15874" max="15876" width="9.140625" style="6"/>
    <col min="15877" max="15877" width="11.140625" style="6" customWidth="1"/>
    <col min="15878" max="15881" width="9.140625" style="6"/>
    <col min="15882" max="15882" width="12.140625" style="6" customWidth="1"/>
    <col min="15883" max="16128" width="9.140625" style="6"/>
    <col min="16129" max="16129" width="16.42578125" style="6" customWidth="1"/>
    <col min="16130" max="16132" width="9.140625" style="6"/>
    <col min="16133" max="16133" width="11.140625" style="6" customWidth="1"/>
    <col min="16134" max="16137" width="9.140625" style="6"/>
    <col min="16138" max="16138" width="12.140625" style="6" customWidth="1"/>
    <col min="16139" max="16384" width="9.140625" style="6"/>
  </cols>
  <sheetData>
    <row r="1" spans="1:18" x14ac:dyDescent="0.2">
      <c r="A1" s="42" t="s">
        <v>45</v>
      </c>
      <c r="B1" s="41">
        <f>COUNTA(E2:M2)</f>
        <v>2</v>
      </c>
      <c r="E1" s="45" t="s">
        <v>44</v>
      </c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</row>
    <row r="2" spans="1:18" ht="15.75" x14ac:dyDescent="0.25">
      <c r="A2" s="35" t="s">
        <v>43</v>
      </c>
      <c r="B2" s="37">
        <v>68</v>
      </c>
      <c r="C2" s="37" t="s">
        <v>9</v>
      </c>
      <c r="D2" s="38" t="s">
        <v>10</v>
      </c>
      <c r="E2" s="7">
        <v>1</v>
      </c>
      <c r="F2" s="8">
        <v>0</v>
      </c>
      <c r="G2" s="9"/>
      <c r="H2" s="9"/>
      <c r="I2" s="10"/>
      <c r="J2" s="10"/>
      <c r="K2" s="10"/>
      <c r="L2" s="10"/>
      <c r="M2" s="10"/>
      <c r="N2" s="10"/>
      <c r="O2" s="10"/>
      <c r="P2" s="10"/>
      <c r="Q2" s="10"/>
      <c r="R2" s="10"/>
    </row>
    <row r="3" spans="1:18" ht="15.75" x14ac:dyDescent="0.25">
      <c r="A3" s="35" t="s">
        <v>8</v>
      </c>
      <c r="B3" s="27"/>
      <c r="C3" s="29"/>
      <c r="D3" s="29"/>
      <c r="E3" s="29"/>
      <c r="F3" s="29"/>
      <c r="G3" s="29"/>
      <c r="H3" s="29"/>
      <c r="I3" s="29"/>
      <c r="J3" s="30"/>
      <c r="K3" s="30"/>
      <c r="L3" s="30"/>
      <c r="M3" s="30"/>
      <c r="N3" s="30"/>
      <c r="O3" s="30"/>
      <c r="P3" s="30"/>
      <c r="Q3" s="30"/>
      <c r="R3" s="30"/>
    </row>
    <row r="4" spans="1:18" ht="15.75" x14ac:dyDescent="0.25">
      <c r="A4" s="35"/>
      <c r="B4" s="36">
        <v>0</v>
      </c>
      <c r="C4" s="4" t="s">
        <v>7</v>
      </c>
      <c r="D4" s="5"/>
    </row>
    <row r="5" spans="1:18" x14ac:dyDescent="0.2">
      <c r="B5" s="4"/>
    </row>
    <row r="6" spans="1:18" x14ac:dyDescent="0.2">
      <c r="A6" s="28" t="s">
        <v>12</v>
      </c>
      <c r="B6" s="30">
        <v>2</v>
      </c>
      <c r="C6" s="5" t="s">
        <v>1</v>
      </c>
    </row>
    <row r="11" spans="1:18" x14ac:dyDescent="0.2">
      <c r="B11" s="43" t="s">
        <v>13</v>
      </c>
      <c r="C11" s="43"/>
      <c r="D11" s="43"/>
      <c r="E11" s="44" t="s">
        <v>11</v>
      </c>
      <c r="F11" s="44"/>
      <c r="G11" s="44"/>
    </row>
    <row r="12" spans="1:18" x14ac:dyDescent="0.2">
      <c r="B12" s="11" t="s">
        <v>14</v>
      </c>
      <c r="C12" s="12" t="s">
        <v>15</v>
      </c>
      <c r="D12" s="12" t="s">
        <v>16</v>
      </c>
      <c r="E12" s="11" t="s">
        <v>14</v>
      </c>
      <c r="F12" s="12" t="s">
        <v>15</v>
      </c>
      <c r="G12" s="12" t="s">
        <v>16</v>
      </c>
    </row>
    <row r="13" spans="1:18" x14ac:dyDescent="0.2">
      <c r="A13" s="33" t="s">
        <v>17</v>
      </c>
      <c r="B13" s="11">
        <v>68</v>
      </c>
      <c r="C13" s="12" t="str">
        <f t="shared" ref="C13:C21" si="0">HEX2BIN(B13,8)</f>
        <v>01101000</v>
      </c>
      <c r="D13" s="12">
        <f t="shared" ref="D13:D21" si="1">HEX2DEC(B13)</f>
        <v>104</v>
      </c>
      <c r="E13" s="11">
        <f>B3</f>
        <v>0</v>
      </c>
      <c r="F13" s="12" t="str">
        <f t="shared" ref="F13:F29" si="2">HEX2BIN(E13,8)</f>
        <v>00000000</v>
      </c>
      <c r="G13" s="12">
        <f t="shared" ref="G13:G29" si="3">HEX2DEC(E13)</f>
        <v>0</v>
      </c>
    </row>
    <row r="14" spans="1:18" x14ac:dyDescent="0.2">
      <c r="A14" s="33" t="s">
        <v>17</v>
      </c>
      <c r="B14" s="11" t="s">
        <v>9</v>
      </c>
      <c r="C14" s="12" t="str">
        <f t="shared" si="0"/>
        <v>01101010</v>
      </c>
      <c r="D14" s="12">
        <f t="shared" si="1"/>
        <v>106</v>
      </c>
      <c r="E14" s="11">
        <f>C3</f>
        <v>0</v>
      </c>
      <c r="F14" s="12" t="str">
        <f t="shared" si="2"/>
        <v>00000000</v>
      </c>
      <c r="G14" s="12">
        <f t="shared" si="3"/>
        <v>0</v>
      </c>
    </row>
    <row r="15" spans="1:18" x14ac:dyDescent="0.2">
      <c r="A15" s="33" t="s">
        <v>17</v>
      </c>
      <c r="B15" s="11" t="s">
        <v>10</v>
      </c>
      <c r="C15" s="12" t="str">
        <f t="shared" si="0"/>
        <v>11110001</v>
      </c>
      <c r="D15" s="12">
        <f t="shared" si="1"/>
        <v>241</v>
      </c>
      <c r="E15" s="11">
        <f>D3</f>
        <v>0</v>
      </c>
      <c r="F15" s="12" t="str">
        <f t="shared" si="2"/>
        <v>00000000</v>
      </c>
      <c r="G15" s="12">
        <f t="shared" si="3"/>
        <v>0</v>
      </c>
      <c r="M15" s="4"/>
    </row>
    <row r="16" spans="1:18" x14ac:dyDescent="0.2">
      <c r="A16" s="33" t="s">
        <v>17</v>
      </c>
      <c r="B16" s="11">
        <f>E2</f>
        <v>1</v>
      </c>
      <c r="C16" s="12" t="str">
        <f t="shared" si="0"/>
        <v>00000001</v>
      </c>
      <c r="D16" s="12">
        <f t="shared" si="1"/>
        <v>1</v>
      </c>
      <c r="E16" s="11">
        <f>E3</f>
        <v>0</v>
      </c>
      <c r="F16" s="12" t="str">
        <f t="shared" si="2"/>
        <v>00000000</v>
      </c>
      <c r="G16" s="12">
        <f t="shared" si="3"/>
        <v>0</v>
      </c>
      <c r="M16" s="4"/>
    </row>
    <row r="17" spans="1:13" x14ac:dyDescent="0.2">
      <c r="A17" s="33" t="s">
        <v>17</v>
      </c>
      <c r="B17" s="13">
        <f>F2</f>
        <v>0</v>
      </c>
      <c r="C17" s="12" t="str">
        <f t="shared" si="0"/>
        <v>00000000</v>
      </c>
      <c r="D17" s="12">
        <f t="shared" si="1"/>
        <v>0</v>
      </c>
      <c r="E17" s="13">
        <f>F3</f>
        <v>0</v>
      </c>
      <c r="F17" s="12" t="str">
        <f t="shared" si="2"/>
        <v>00000000</v>
      </c>
      <c r="G17" s="12">
        <f t="shared" si="3"/>
        <v>0</v>
      </c>
      <c r="M17" s="4"/>
    </row>
    <row r="18" spans="1:13" x14ac:dyDescent="0.2">
      <c r="A18" s="33" t="s">
        <v>17</v>
      </c>
      <c r="B18" s="11">
        <f>G2</f>
        <v>0</v>
      </c>
      <c r="C18" s="12" t="str">
        <f t="shared" si="0"/>
        <v>00000000</v>
      </c>
      <c r="D18" s="12">
        <f t="shared" si="1"/>
        <v>0</v>
      </c>
      <c r="E18" s="11">
        <f>G3</f>
        <v>0</v>
      </c>
      <c r="F18" s="12" t="str">
        <f t="shared" si="2"/>
        <v>00000000</v>
      </c>
      <c r="G18" s="12">
        <f t="shared" si="3"/>
        <v>0</v>
      </c>
    </row>
    <row r="19" spans="1:13" x14ac:dyDescent="0.2">
      <c r="A19" s="33" t="s">
        <v>17</v>
      </c>
      <c r="B19" s="11">
        <f>H2</f>
        <v>0</v>
      </c>
      <c r="C19" s="12" t="str">
        <f t="shared" si="0"/>
        <v>00000000</v>
      </c>
      <c r="D19" s="12">
        <f t="shared" si="1"/>
        <v>0</v>
      </c>
      <c r="E19" s="11">
        <f>H3</f>
        <v>0</v>
      </c>
      <c r="F19" s="12" t="str">
        <f t="shared" si="2"/>
        <v>00000000</v>
      </c>
      <c r="G19" s="12">
        <f t="shared" si="3"/>
        <v>0</v>
      </c>
    </row>
    <row r="20" spans="1:13" x14ac:dyDescent="0.2">
      <c r="A20" s="33" t="s">
        <v>17</v>
      </c>
      <c r="B20" s="11">
        <f>I2</f>
        <v>0</v>
      </c>
      <c r="C20" s="12" t="str">
        <f t="shared" si="0"/>
        <v>00000000</v>
      </c>
      <c r="D20" s="12">
        <f t="shared" si="1"/>
        <v>0</v>
      </c>
      <c r="E20" s="11">
        <f>I3</f>
        <v>0</v>
      </c>
      <c r="F20" s="12" t="str">
        <f t="shared" si="2"/>
        <v>00000000</v>
      </c>
      <c r="G20" s="12">
        <f t="shared" si="3"/>
        <v>0</v>
      </c>
    </row>
    <row r="21" spans="1:13" x14ac:dyDescent="0.2">
      <c r="A21" s="33" t="s">
        <v>17</v>
      </c>
      <c r="B21" s="11">
        <f>J2</f>
        <v>0</v>
      </c>
      <c r="C21" s="12" t="str">
        <f t="shared" si="0"/>
        <v>00000000</v>
      </c>
      <c r="D21" s="12">
        <f t="shared" si="1"/>
        <v>0</v>
      </c>
      <c r="E21" s="11">
        <f>J3</f>
        <v>0</v>
      </c>
      <c r="F21" s="12" t="str">
        <f t="shared" si="2"/>
        <v>00000000</v>
      </c>
      <c r="G21" s="12">
        <f t="shared" si="3"/>
        <v>0</v>
      </c>
    </row>
    <row r="22" spans="1:13" x14ac:dyDescent="0.2">
      <c r="A22" s="33" t="s">
        <v>17</v>
      </c>
      <c r="B22" s="11">
        <f>K2</f>
        <v>0</v>
      </c>
      <c r="C22" s="12" t="str">
        <f t="shared" ref="C22:C29" si="4">HEX2BIN(B22,8)</f>
        <v>00000000</v>
      </c>
      <c r="D22" s="12">
        <f t="shared" ref="D22:D29" si="5">HEX2DEC(B22)</f>
        <v>0</v>
      </c>
      <c r="E22" s="11">
        <f>K3</f>
        <v>0</v>
      </c>
      <c r="F22" s="12" t="str">
        <f t="shared" si="2"/>
        <v>00000000</v>
      </c>
      <c r="G22" s="12">
        <f t="shared" si="3"/>
        <v>0</v>
      </c>
    </row>
    <row r="23" spans="1:13" x14ac:dyDescent="0.2">
      <c r="A23" s="33" t="s">
        <v>17</v>
      </c>
      <c r="B23" s="11">
        <f>L2</f>
        <v>0</v>
      </c>
      <c r="C23" s="12" t="str">
        <f t="shared" si="4"/>
        <v>00000000</v>
      </c>
      <c r="D23" s="12">
        <f t="shared" si="5"/>
        <v>0</v>
      </c>
      <c r="E23" s="11">
        <f>L3</f>
        <v>0</v>
      </c>
      <c r="F23" s="12" t="str">
        <f t="shared" si="2"/>
        <v>00000000</v>
      </c>
      <c r="G23" s="12">
        <f t="shared" si="3"/>
        <v>0</v>
      </c>
    </row>
    <row r="24" spans="1:13" x14ac:dyDescent="0.2">
      <c r="A24" s="33" t="s">
        <v>17</v>
      </c>
      <c r="B24" s="11">
        <f>M2</f>
        <v>0</v>
      </c>
      <c r="C24" s="12" t="str">
        <f t="shared" si="4"/>
        <v>00000000</v>
      </c>
      <c r="D24" s="12">
        <f t="shared" si="5"/>
        <v>0</v>
      </c>
      <c r="E24" s="11">
        <f>M3</f>
        <v>0</v>
      </c>
      <c r="F24" s="12" t="str">
        <f t="shared" si="2"/>
        <v>00000000</v>
      </c>
      <c r="G24" s="12">
        <f t="shared" si="3"/>
        <v>0</v>
      </c>
    </row>
    <row r="25" spans="1:13" x14ac:dyDescent="0.2">
      <c r="A25" s="33" t="s">
        <v>17</v>
      </c>
      <c r="B25" s="11">
        <f>N2</f>
        <v>0</v>
      </c>
      <c r="C25" s="12" t="str">
        <f t="shared" si="4"/>
        <v>00000000</v>
      </c>
      <c r="D25" s="12">
        <f t="shared" si="5"/>
        <v>0</v>
      </c>
      <c r="E25" s="11">
        <f>N3</f>
        <v>0</v>
      </c>
      <c r="F25" s="12" t="str">
        <f t="shared" si="2"/>
        <v>00000000</v>
      </c>
      <c r="G25" s="12">
        <f t="shared" si="3"/>
        <v>0</v>
      </c>
    </row>
    <row r="26" spans="1:13" x14ac:dyDescent="0.2">
      <c r="A26" s="33" t="s">
        <v>17</v>
      </c>
      <c r="B26" s="11">
        <f>O2</f>
        <v>0</v>
      </c>
      <c r="C26" s="12" t="str">
        <f t="shared" si="4"/>
        <v>00000000</v>
      </c>
      <c r="D26" s="12">
        <f t="shared" si="5"/>
        <v>0</v>
      </c>
      <c r="E26" s="11">
        <f>O3</f>
        <v>0</v>
      </c>
      <c r="F26" s="12" t="str">
        <f t="shared" si="2"/>
        <v>00000000</v>
      </c>
      <c r="G26" s="12">
        <f t="shared" si="3"/>
        <v>0</v>
      </c>
    </row>
    <row r="27" spans="1:13" x14ac:dyDescent="0.2">
      <c r="A27" s="33" t="s">
        <v>17</v>
      </c>
      <c r="B27" s="11">
        <f>P2</f>
        <v>0</v>
      </c>
      <c r="C27" s="12" t="str">
        <f t="shared" si="4"/>
        <v>00000000</v>
      </c>
      <c r="D27" s="12">
        <f t="shared" si="5"/>
        <v>0</v>
      </c>
      <c r="E27" s="11">
        <f>P3</f>
        <v>0</v>
      </c>
      <c r="F27" s="12" t="str">
        <f t="shared" si="2"/>
        <v>00000000</v>
      </c>
      <c r="G27" s="12">
        <f t="shared" si="3"/>
        <v>0</v>
      </c>
    </row>
    <row r="28" spans="1:13" x14ac:dyDescent="0.2">
      <c r="A28" s="33" t="s">
        <v>17</v>
      </c>
      <c r="B28" s="11">
        <f>Q2</f>
        <v>0</v>
      </c>
      <c r="C28" s="12" t="str">
        <f t="shared" si="4"/>
        <v>00000000</v>
      </c>
      <c r="D28" s="12">
        <f t="shared" si="5"/>
        <v>0</v>
      </c>
      <c r="E28" s="11">
        <f>Q3</f>
        <v>0</v>
      </c>
      <c r="F28" s="12" t="str">
        <f t="shared" si="2"/>
        <v>00000000</v>
      </c>
      <c r="G28" s="12">
        <f t="shared" si="3"/>
        <v>0</v>
      </c>
    </row>
    <row r="29" spans="1:13" x14ac:dyDescent="0.2">
      <c r="A29" s="33" t="s">
        <v>17</v>
      </c>
      <c r="B29" s="11">
        <f>R2</f>
        <v>0</v>
      </c>
      <c r="C29" s="12" t="str">
        <f t="shared" si="4"/>
        <v>00000000</v>
      </c>
      <c r="D29" s="12">
        <f t="shared" si="5"/>
        <v>0</v>
      </c>
      <c r="E29" s="11">
        <f>R3</f>
        <v>0</v>
      </c>
      <c r="F29" s="12" t="str">
        <f t="shared" si="2"/>
        <v>00000000</v>
      </c>
      <c r="G29" s="12">
        <f t="shared" si="3"/>
        <v>0</v>
      </c>
    </row>
    <row r="30" spans="1:13" x14ac:dyDescent="0.2">
      <c r="A30" s="33" t="s">
        <v>18</v>
      </c>
      <c r="B30" s="11" t="str">
        <f>DEC2HEX(D30)</f>
        <v>1C4</v>
      </c>
      <c r="C30" s="39" t="str">
        <f>DEC2BIN(MOD(QUOTIENT(D30,256^1),256),8)&amp;DEC2BIN(MOD(QUOTIENT(D30,256^0),256),8)</f>
        <v>0000000111000100</v>
      </c>
      <c r="D30" s="12">
        <f>SUM(D13:D29)</f>
        <v>452</v>
      </c>
      <c r="E30" s="11" t="str">
        <f>DEC2HEX(G30)</f>
        <v>0</v>
      </c>
      <c r="F30" s="39" t="str">
        <f>DEC2BIN(MOD(QUOTIENT(G30,256^1),256),8)&amp;DEC2BIN(MOD(QUOTIENT(G30,256^0),256),8)</f>
        <v>0000000000000000</v>
      </c>
      <c r="G30" s="12">
        <f>SUM(G13:G29)</f>
        <v>0</v>
      </c>
    </row>
    <row r="31" spans="1:13" x14ac:dyDescent="0.2">
      <c r="A31" s="34" t="s">
        <v>19</v>
      </c>
      <c r="B31" s="14" t="str">
        <f>RIGHT(B30,2)</f>
        <v>C4</v>
      </c>
      <c r="C31" s="15" t="str">
        <f>RIGHT(C30,8)</f>
        <v>11000100</v>
      </c>
      <c r="D31" s="12"/>
      <c r="E31" s="14" t="str">
        <f>RIGHT(E30,2)</f>
        <v>0</v>
      </c>
      <c r="F31" s="15" t="str">
        <f>RIGHT(F30,8)</f>
        <v>00000000</v>
      </c>
      <c r="G31" s="12"/>
    </row>
  </sheetData>
  <mergeCells count="3">
    <mergeCell ref="B11:D11"/>
    <mergeCell ref="E11:G11"/>
    <mergeCell ref="E1:R1"/>
  </mergeCell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0</xdr:col>
                <xdr:colOff>1333500</xdr:colOff>
                <xdr:row>6</xdr:row>
                <xdr:rowOff>57150</xdr:rowOff>
              </from>
              <to>
                <xdr:col>3</xdr:col>
                <xdr:colOff>571500</xdr:colOff>
                <xdr:row>9</xdr:row>
                <xdr:rowOff>76200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PIPE2XL2</vt:lpstr>
      <vt:lpstr>PIPE2XL</vt:lpstr>
      <vt:lpstr>EEPROM2XL</vt:lpstr>
      <vt:lpstr>PING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Vernooy</dc:creator>
  <cp:lastModifiedBy>Vernooy, David W (GE Corporate)</cp:lastModifiedBy>
  <dcterms:created xsi:type="dcterms:W3CDTF">2013-06-09T20:09:56Z</dcterms:created>
  <dcterms:modified xsi:type="dcterms:W3CDTF">2018-01-12T22:51:33Z</dcterms:modified>
</cp:coreProperties>
</file>